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5" customWidth="1" min="1" max="1"/>
    <col width="29" customWidth="1" min="2" max="2"/>
    <col width="19" customWidth="1" min="3" max="3"/>
    <col width="25" customWidth="1" min="4" max="4"/>
    <col width="33" customWidth="1" min="5" max="5"/>
    <col width="25" customWidth="1" min="6" max="6"/>
  </cols>
  <sheetData>
    <row r="1">
      <c r="A1" s="1" t="inlineStr">
        <is>
          <t>ULTIMATE PRO SUBSCRIPTION &amp; RECURRING EXPENSE TRACKER - DIGITAL KNOWORA</t>
        </is>
      </c>
    </row>
    <row r="2"/>
    <row r="3">
      <c r="A3" s="2" t="inlineStr">
        <is>
          <t>Automated System • Instant Calculation Engine • Lifetime License</t>
        </is>
      </c>
    </row>
    <row r="4"/>
    <row r="5">
      <c r="A5" s="3" t="inlineStr">
        <is>
          <t>ID</t>
        </is>
      </c>
      <c r="B5" s="3" t="inlineStr">
        <is>
          <t>Item / Asset Description</t>
        </is>
      </c>
      <c r="C5" s="3" t="inlineStr">
        <is>
          <t>Category</t>
        </is>
      </c>
      <c r="D5" s="3" t="inlineStr">
        <is>
          <t>Invested / Cost (INR)</t>
        </is>
      </c>
      <c r="E5" s="3" t="inlineStr">
        <is>
          <t>Current Value / Revenue (INR)</t>
        </is>
      </c>
      <c r="F5" s="3" t="inlineStr">
        <is>
          <t>Net Gain / Profit (%)</t>
        </is>
      </c>
    </row>
    <row r="6">
      <c r="A6" s="4" t="n">
        <v>1</v>
      </c>
      <c r="B6" s="4" t="inlineStr">
        <is>
          <t>Nifty 50 Index Fund</t>
        </is>
      </c>
      <c r="C6" s="4" t="inlineStr">
        <is>
          <t>Mutual Fund</t>
        </is>
      </c>
      <c r="D6" s="5" t="n">
        <v>50000</v>
      </c>
      <c r="E6" s="5" t="n">
        <v>62500</v>
      </c>
      <c r="F6" s="6">
        <f> (E6 - D6) / D6</f>
        <v/>
      </c>
    </row>
    <row r="7">
      <c r="A7" s="4" t="n">
        <v>2</v>
      </c>
      <c r="B7" s="4" t="inlineStr">
        <is>
          <t>Tech Bluechip Equities</t>
        </is>
      </c>
      <c r="C7" s="4" t="inlineStr">
        <is>
          <t>Stocks</t>
        </is>
      </c>
      <c r="D7" s="5" t="n">
        <v>75000</v>
      </c>
      <c r="E7" s="5" t="n">
        <v>94000</v>
      </c>
      <c r="F7" s="6">
        <f> (E7 - D7) / D7</f>
        <v/>
      </c>
    </row>
    <row r="8">
      <c r="A8" s="4" t="n">
        <v>3</v>
      </c>
      <c r="B8" s="4" t="inlineStr">
        <is>
          <t>Commercial REIT Growth</t>
        </is>
      </c>
      <c r="C8" s="4" t="inlineStr">
        <is>
          <t>Real Estate</t>
        </is>
      </c>
      <c r="D8" s="5" t="n">
        <v>100000</v>
      </c>
      <c r="E8" s="5" t="n">
        <v>118000</v>
      </c>
      <c r="F8" s="6">
        <f> (E8 - D8) / D8</f>
        <v/>
      </c>
    </row>
    <row r="9">
      <c r="A9" s="4" t="n">
        <v>4</v>
      </c>
      <c r="B9" s="4" t="inlineStr">
        <is>
          <t>High Yield Gold Sovereign</t>
        </is>
      </c>
      <c r="C9" s="4" t="inlineStr">
        <is>
          <t>Commodity</t>
        </is>
      </c>
      <c r="D9" s="5" t="n">
        <v>30000</v>
      </c>
      <c r="E9" s="5" t="n">
        <v>36000</v>
      </c>
      <c r="F9" s="6">
        <f> (E9 - D9) / D9</f>
        <v/>
      </c>
    </row>
    <row r="10"/>
    <row r="11">
      <c r="C11" s="7" t="inlineStr">
        <is>
          <t>TOTAL PORTFOLIO</t>
        </is>
      </c>
      <c r="D11" s="8">
        <f>SUM(D6:D9)</f>
        <v/>
      </c>
      <c r="E11" s="8">
        <f>SUM(E6:E9)</f>
        <v/>
      </c>
      <c r="F11" s="9">
        <f>(E11-D11)/D11</f>
        <v/>
      </c>
    </row>
  </sheetData>
  <mergeCells count="2">
    <mergeCell ref="A3:F3"/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2026-09-10T06:43:58Z</dcterms:created>
  <dcterms:modified xsi:type="dcterms:W3CDTF">2026-09-10T06:43:58Z</dcterms:modified>
</cp:coreProperties>
</file>