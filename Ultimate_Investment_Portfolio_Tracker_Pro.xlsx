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Start_Here" sheetId="1" state="visible" r:id="rId1"/>
    <sheet name="02_Dashboard" sheetId="2" state="visible" r:id="rId2"/>
    <sheet name="03_Holdings" sheetId="3" state="visible" r:id="rId3"/>
    <sheet name="04_Transactions" sheetId="4" state="visible" r:id="rId4"/>
    <sheet name="05_Performance" sheetId="5" state="visible" r:id="rId5"/>
    <sheet name="06_Allocation_Risk" sheetId="6" state="visible" r:id="rId6"/>
    <sheet name="07_Dividends_Income" sheetId="7" state="visible" r:id="rId7"/>
    <sheet name="08_Goals_SIP" sheetId="8" state="visible" r:id="rId8"/>
    <sheet name="09_Rebalancing_Drift" sheetId="9" state="visible" r:id="rId9"/>
    <sheet name="10_Scenarios_Freedom" sheetId="10" state="visible" r:id="rId10"/>
    <sheet name="11_Reviews_Reports" sheetId="11" state="visible" r:id="rId11"/>
    <sheet name="12_Investment_Journal" sheetId="12" state="visible" r:id="rId12"/>
    <sheet name="13_Settings_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;($#,##0.00);&quot;-&quot;"/>
    <numFmt numFmtId="165" formatCode="+0.00%;-0.00%;0.00%"/>
    <numFmt numFmtId="166" formatCode="$#,##0;($#,##0);&quot;-&quot;"/>
    <numFmt numFmtId="167" formatCode="0.0%;-0.0%;0.0%"/>
    <numFmt numFmtId="168" formatCode="$#,##0.000"/>
    <numFmt numFmtId="169" formatCode="0.0 yrs"/>
  </numFmts>
  <fonts count="20">
    <font>
      <name val="Calibri"/>
      <family val="2"/>
      <color theme="1"/>
      <sz val="11"/>
      <scheme val="minor"/>
    </font>
    <font>
      <name val="Segoe UI"/>
      <b val="1"/>
      <color rgb="00FFFFFF"/>
      <sz val="8"/>
    </font>
    <font>
      <name val="Segoe UI"/>
      <color rgb="00CBD5E1"/>
      <sz val="8"/>
    </font>
    <font>
      <name val="Segoe UI"/>
      <b val="1"/>
      <color rgb="00FFFFFF"/>
      <sz val="15"/>
    </font>
    <font>
      <name val="Segoe UI"/>
      <i val="1"/>
      <color rgb="0094A3B8"/>
      <sz val="9"/>
    </font>
    <font>
      <name val="Segoe UI"/>
      <b val="1"/>
      <color rgb="000F172A"/>
      <sz val="11"/>
    </font>
    <font>
      <name val="Segoe UI"/>
      <b val="1"/>
      <color rgb="002563EB"/>
      <sz val="9"/>
    </font>
    <font>
      <name val="Segoe UI"/>
      <color rgb="000F172A"/>
      <sz val="9"/>
    </font>
    <font>
      <name val="Segoe UI"/>
      <b val="1"/>
      <color rgb="000F172A"/>
      <sz val="9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b val="1"/>
      <color rgb="0064748B"/>
      <sz val="8"/>
    </font>
    <font>
      <name val="Segoe UI"/>
      <b val="1"/>
      <color rgb="000F172A"/>
      <sz val="16"/>
    </font>
    <font>
      <name val="Segoe UI"/>
      <i val="1"/>
      <color rgb="0064748B"/>
      <sz val="8"/>
    </font>
    <font>
      <name val="Segoe UI"/>
      <b val="1"/>
      <color rgb="000F172A"/>
      <sz val="15"/>
    </font>
    <font>
      <name val="Segoe UI"/>
      <b val="1"/>
      <color rgb="00FFFFFF"/>
      <sz val="9"/>
    </font>
    <font>
      <name val="Segoe UI"/>
      <b val="1"/>
      <color rgb="0064748B"/>
      <sz val="9"/>
    </font>
    <font>
      <name val="Segoe UI"/>
      <b val="1"/>
      <color rgb="00059669"/>
      <sz val="9"/>
    </font>
    <font>
      <name val="Segoe UI"/>
      <b val="1"/>
      <color rgb="00059669"/>
      <sz val="22"/>
    </font>
    <font>
      <name val="Segoe U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FFFFFF"/>
        <bgColor rgb="00FFFFFF"/>
      </patternFill>
    </fill>
    <fill>
      <patternFill patternType="solid">
        <fgColor rgb="00FFFBEB"/>
        <bgColor rgb="00FFFBEB"/>
      </patternFill>
    </fill>
    <fill>
      <patternFill patternType="solid">
        <fgColor rgb="00ECFDF5"/>
        <bgColor rgb="00ECFDF5"/>
      </patternFill>
    </fill>
  </fills>
  <borders count="1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</border>
    <border>
      <left style="thin">
        <color rgb="00E2E8F0"/>
      </left>
      <right style="thin">
        <color rgb="00E2E8F0"/>
      </right>
      <bottom style="thin">
        <color rgb="00E2E8F0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</border>
    <border>
      <left style="thin">
        <color rgb="00E2E8F0"/>
      </left>
      <right style="thin">
        <color rgb="00E2E8F0"/>
      </right>
      <top style="thin">
        <color rgb="000F172A"/>
      </top>
      <bottom style="double">
        <color rgb="000F172A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5" borderId="1" pivotButton="0" quotePrefix="0" xfId="0"/>
    <xf numFmtId="0" fontId="7" fillId="5" borderId="2" applyAlignment="1" pivotButton="0" quotePrefix="0" xfId="0">
      <alignment horizontal="left" vertical="center" wrapText="1"/>
    </xf>
    <xf numFmtId="0" fontId="8" fillId="6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left" vertical="center"/>
    </xf>
    <xf numFmtId="0" fontId="8" fillId="7" borderId="4" applyAlignment="1" pivotButton="0" quotePrefix="0" xfId="0">
      <alignment horizontal="center" vertical="center"/>
    </xf>
    <xf numFmtId="0" fontId="8" fillId="8" borderId="4" applyAlignment="1" pivotButton="0" quotePrefix="0" xfId="0">
      <alignment horizontal="center" vertical="center"/>
    </xf>
    <xf numFmtId="0" fontId="8" fillId="5" borderId="5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5" borderId="5" applyAlignment="1" pivotButton="0" quotePrefix="0" xfId="0">
      <alignment horizontal="center" vertical="center" wrapText="1"/>
    </xf>
    <xf numFmtId="0" fontId="11" fillId="5" borderId="5" applyAlignment="1" pivotButton="0" quotePrefix="0" xfId="0">
      <alignment horizontal="center" vertical="center"/>
    </xf>
    <xf numFmtId="0" fontId="0" fillId="0" borderId="5" pivotButton="0" quotePrefix="0" xfId="0"/>
    <xf numFmtId="164" fontId="12" fillId="5" borderId="5" applyAlignment="1" pivotButton="0" quotePrefix="0" xfId="0">
      <alignment horizontal="center" vertical="center"/>
    </xf>
    <xf numFmtId="165" fontId="12" fillId="5" borderId="5" applyAlignment="1" pivotButton="0" quotePrefix="0" xfId="0">
      <alignment horizontal="center" vertical="center"/>
    </xf>
    <xf numFmtId="0" fontId="13" fillId="5" borderId="5" applyAlignment="1" pivotButton="0" quotePrefix="0" xfId="0">
      <alignment horizontal="center" vertical="center"/>
    </xf>
    <xf numFmtId="165" fontId="14" fillId="5" borderId="5" applyAlignment="1" pivotButton="0" quotePrefix="0" xfId="0">
      <alignment horizontal="center" vertical="center"/>
    </xf>
    <xf numFmtId="164" fontId="14" fillId="5" borderId="5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0" fillId="0" borderId="1" pivotButton="0" quotePrefix="0" xfId="0"/>
    <xf numFmtId="0" fontId="7" fillId="5" borderId="6" applyAlignment="1" pivotButton="0" quotePrefix="0" xfId="0">
      <alignment horizontal="left" vertical="center"/>
    </xf>
    <xf numFmtId="0" fontId="0" fillId="0" borderId="6" pivotButton="0" quotePrefix="0" xfId="0"/>
    <xf numFmtId="0" fontId="7" fillId="5" borderId="2" applyAlignment="1" pivotButton="0" quotePrefix="0" xfId="0">
      <alignment horizontal="left" vertical="center"/>
    </xf>
    <xf numFmtId="0" fontId="0" fillId="0" borderId="2" pivotButton="0" quotePrefix="0" xfId="0"/>
    <xf numFmtId="0" fontId="15" fillId="3" borderId="4" applyAlignment="1" pivotButton="0" quotePrefix="0" xfId="0">
      <alignment horizontal="center" vertical="center"/>
    </xf>
    <xf numFmtId="0" fontId="8" fillId="0" borderId="4" pivotButton="0" quotePrefix="0" xfId="0"/>
    <xf numFmtId="166" fontId="7" fillId="0" borderId="4" applyAlignment="1" pivotButton="0" quotePrefix="0" xfId="0">
      <alignment horizontal="right" vertical="center"/>
    </xf>
    <xf numFmtId="167" fontId="8" fillId="0" borderId="4" applyAlignment="1" pivotButton="0" quotePrefix="0" xfId="0">
      <alignment horizontal="right" vertical="center"/>
    </xf>
    <xf numFmtId="167" fontId="7" fillId="0" borderId="4" applyAlignment="1" pivotButton="0" quotePrefix="0" xfId="0">
      <alignment horizontal="right" vertical="center"/>
    </xf>
    <xf numFmtId="165" fontId="8" fillId="0" borderId="4" applyAlignment="1" pivotButton="0" quotePrefix="0" xfId="0">
      <alignment horizontal="right" vertical="center"/>
    </xf>
    <xf numFmtId="0" fontId="8" fillId="0" borderId="4" applyAlignment="1" pivotButton="0" quotePrefix="0" xfId="0">
      <alignment horizontal="center" vertical="center"/>
    </xf>
    <xf numFmtId="0" fontId="7" fillId="0" borderId="4" pivotButton="0" quotePrefix="0" xfId="0"/>
    <xf numFmtId="0" fontId="0" fillId="3" borderId="0" pivotButton="0" quotePrefix="0" xfId="0"/>
    <xf numFmtId="0" fontId="9" fillId="4" borderId="0" applyAlignment="1" pivotButton="0" quotePrefix="0" xfId="0">
      <alignment horizontal="center" vertical="center"/>
    </xf>
    <xf numFmtId="164" fontId="9" fillId="4" borderId="0" applyAlignment="1" pivotButton="0" quotePrefix="0" xfId="0">
      <alignment horizontal="right" vertical="center"/>
    </xf>
    <xf numFmtId="165" fontId="9" fillId="4" borderId="0" applyAlignment="1" pivotButton="0" quotePrefix="0" xfId="0">
      <alignment horizontal="right" vertical="center"/>
    </xf>
    <xf numFmtId="167" fontId="9" fillId="4" borderId="0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3" fontId="7" fillId="6" borderId="3" applyAlignment="1" pivotButton="0" quotePrefix="0" xfId="0">
      <alignment horizontal="right" vertical="center"/>
    </xf>
    <xf numFmtId="164" fontId="7" fillId="6" borderId="3" applyAlignment="1" pivotButton="0" quotePrefix="0" xfId="0">
      <alignment horizontal="right" vertical="center"/>
    </xf>
    <xf numFmtId="164" fontId="8" fillId="6" borderId="3" applyAlignment="1" pivotButton="0" quotePrefix="0" xfId="0">
      <alignment horizontal="right" vertical="center"/>
    </xf>
    <xf numFmtId="164" fontId="7" fillId="0" borderId="4" applyAlignment="1" pivotButton="0" quotePrefix="0" xfId="0">
      <alignment horizontal="right" vertical="center"/>
    </xf>
    <xf numFmtId="164" fontId="8" fillId="0" borderId="4" applyAlignment="1" pivotButton="0" quotePrefix="0" xfId="0">
      <alignment horizontal="right" vertical="center"/>
    </xf>
    <xf numFmtId="167" fontId="7" fillId="6" borderId="3" applyAlignment="1" pivotButton="0" quotePrefix="0" xfId="0">
      <alignment horizontal="right" vertical="center"/>
    </xf>
    <xf numFmtId="0" fontId="15" fillId="4" borderId="0" applyAlignment="1" pivotButton="0" quotePrefix="0" xfId="0">
      <alignment horizontal="center" vertical="center"/>
    </xf>
    <xf numFmtId="0" fontId="16" fillId="5" borderId="0" pivotButton="0" quotePrefix="0" xfId="0"/>
    <xf numFmtId="164" fontId="8" fillId="5" borderId="0" pivotButton="0" quotePrefix="0" xfId="0"/>
    <xf numFmtId="164" fontId="17" fillId="5" borderId="0" pivotButton="0" quotePrefix="0" xfId="0"/>
    <xf numFmtId="0" fontId="7" fillId="6" borderId="3" applyAlignment="1" pivotButton="0" quotePrefix="0" xfId="0">
      <alignment horizontal="center" vertical="center"/>
    </xf>
    <xf numFmtId="0" fontId="6" fillId="5" borderId="5" pivotButton="0" quotePrefix="0" xfId="0"/>
    <xf numFmtId="166" fontId="7" fillId="6" borderId="3" applyAlignment="1" pivotButton="0" quotePrefix="0" xfId="0">
      <alignment horizontal="right" vertical="center"/>
    </xf>
    <xf numFmtId="166" fontId="8" fillId="6" borderId="3" applyAlignment="1" pivotButton="0" quotePrefix="0" xfId="0">
      <alignment horizontal="right" vertical="center"/>
    </xf>
    <xf numFmtId="166" fontId="8" fillId="0" borderId="4" applyAlignment="1" pivotButton="0" quotePrefix="0" xfId="0">
      <alignment horizontal="right" vertical="center"/>
    </xf>
    <xf numFmtId="165" fontId="7" fillId="6" borderId="3" applyAlignment="1" pivotButton="0" quotePrefix="0" xfId="0">
      <alignment horizontal="right" vertical="center"/>
    </xf>
    <xf numFmtId="0" fontId="7" fillId="5" borderId="5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center" vertical="center"/>
    </xf>
    <xf numFmtId="166" fontId="8" fillId="0" borderId="7" pivotButton="0" quotePrefix="0" xfId="0"/>
    <xf numFmtId="165" fontId="8" fillId="0" borderId="7" pivotButton="0" quotePrefix="0" xfId="0"/>
    <xf numFmtId="166" fontId="8" fillId="0" borderId="7" applyAlignment="1" pivotButton="0" quotePrefix="0" xfId="0">
      <alignment horizontal="right" vertical="center"/>
    </xf>
    <xf numFmtId="167" fontId="8" fillId="0" borderId="7" applyAlignment="1" pivotButton="0" quotePrefix="0" xfId="0">
      <alignment horizontal="right" vertical="center"/>
    </xf>
    <xf numFmtId="165" fontId="8" fillId="0" borderId="7" applyAlignment="1" pivotButton="0" quotePrefix="0" xfId="0">
      <alignment horizontal="right" vertical="center"/>
    </xf>
    <xf numFmtId="0" fontId="18" fillId="5" borderId="5" applyAlignment="1" pivotButton="0" quotePrefix="0" xfId="0">
      <alignment horizontal="center" vertical="center"/>
    </xf>
    <xf numFmtId="0" fontId="8" fillId="9" borderId="5" applyAlignment="1" pivotButton="0" quotePrefix="0" xfId="0">
      <alignment horizontal="center" vertical="center"/>
    </xf>
    <xf numFmtId="0" fontId="13" fillId="5" borderId="5" applyAlignment="1" pivotButton="0" quotePrefix="0" xfId="0">
      <alignment horizontal="left" vertical="center" wrapText="1"/>
    </xf>
    <xf numFmtId="3" fontId="8" fillId="0" borderId="4" applyAlignment="1" pivotButton="0" quotePrefix="0" xfId="0">
      <alignment horizontal="right" vertical="center"/>
    </xf>
    <xf numFmtId="164" fontId="19" fillId="4" borderId="0" applyAlignment="1" pivotButton="0" quotePrefix="0" xfId="0">
      <alignment horizontal="center" vertical="center"/>
    </xf>
    <xf numFmtId="165" fontId="19" fillId="4" borderId="0" applyAlignment="1" pivotButton="0" quotePrefix="0" xfId="0">
      <alignment horizontal="center" vertical="center"/>
    </xf>
    <xf numFmtId="168" fontId="7" fillId="6" borderId="3" applyAlignment="1" pivotButton="0" quotePrefix="0" xfId="0">
      <alignment horizontal="right" vertical="center"/>
    </xf>
    <xf numFmtId="165" fontId="7" fillId="0" borderId="4" applyAlignment="1" pivotButton="0" quotePrefix="0" xfId="0">
      <alignment horizontal="right" vertical="center"/>
    </xf>
    <xf numFmtId="167" fontId="10" fillId="6" borderId="3" applyAlignment="1" pivotButton="0" quotePrefix="0" xfId="0">
      <alignment horizontal="center" vertical="center"/>
    </xf>
    <xf numFmtId="0" fontId="13" fillId="5" borderId="0" applyAlignment="1" pivotButton="0" quotePrefix="0" xfId="0">
      <alignment horizontal="left" vertical="center"/>
    </xf>
    <xf numFmtId="0" fontId="0" fillId="0" borderId="7" applyAlignment="1" pivotButton="0" quotePrefix="0" xfId="0">
      <alignment horizontal="center" vertical="center"/>
    </xf>
    <xf numFmtId="0" fontId="13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3" fillId="0" borderId="4" pivotButton="0" quotePrefix="0" xfId="0"/>
    <xf numFmtId="167" fontId="8" fillId="6" borderId="3" applyAlignment="1" pivotButton="0" quotePrefix="0" xfId="0">
      <alignment horizontal="right" vertical="center"/>
    </xf>
    <xf numFmtId="169" fontId="8" fillId="0" borderId="4" applyAlignment="1" pivotButton="0" quotePrefix="0" xfId="0">
      <alignment horizontal="right" vertical="center"/>
    </xf>
    <xf numFmtId="0" fontId="0" fillId="0" borderId="4" pivotButton="0" quotePrefix="0" xfId="0"/>
    <xf numFmtId="49" fontId="8" fillId="0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Current Asset Allocation</a:t>
            </a:r>
          </a:p>
        </rich>
      </tx>
    </title>
    <plotArea>
      <doughnutChart>
        <varyColors val="1"/>
        <ser>
          <idx val="0"/>
          <order val="0"/>
          <tx>
            <strRef>
              <f>'02_Dashboard'!B21</f>
            </strRef>
          </tx>
          <spPr>
            <a:ln>
              <a:prstDash val="solid"/>
            </a:ln>
          </spPr>
          <cat>
            <numRef>
              <f>'02_Dashboard'!$A$22:$A$27</f>
            </numRef>
          </cat>
          <val>
            <numRef>
              <f>'02_Dashboard'!$B$22:$B$27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Top Holdings Value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'02_Dashboard'!J21</f>
            </strRef>
          </tx>
          <spPr>
            <a:ln>
              <a:prstDash val="solid"/>
            </a:ln>
          </spPr>
          <cat>
            <numRef>
              <f>'02_Dashboard'!$I$22:$I$26</f>
            </numRef>
          </cat>
          <val>
            <numRef>
              <f>'02_Dashboard'!$J$22:$J$26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Ticker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Market Value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Portfolio Value Trajectory ($)</a:t>
            </a:r>
          </a:p>
        </rich>
      </tx>
    </title>
    <plotArea>
      <lineChart>
        <grouping val="standard"/>
        <ser>
          <idx val="0"/>
          <order val="0"/>
          <tx>
            <strRef>
              <f>'05_Performance'!D11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'05_Performance'!$A$12:$A$23</f>
            </numRef>
          </cat>
          <val>
            <numRef>
              <f>'05_Performance'!$D$12:$D$23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Ending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Sector Allocation Breakdown</a:t>
            </a:r>
          </a:p>
        </rich>
      </tx>
    </title>
    <plotArea>
      <doughnutChart>
        <varyColors val="1"/>
        <ser>
          <idx val="0"/>
          <order val="0"/>
          <tx>
            <strRef>
              <f>'06_Allocation_Risk'!H7</f>
            </strRef>
          </tx>
          <spPr>
            <a:ln>
              <a:prstDash val="solid"/>
            </a:ln>
          </spPr>
          <cat>
            <numRef>
              <f>'06_Allocation_Risk'!$G$8:$G$15</f>
            </numRef>
          </cat>
          <val>
            <numRef>
              <f>'06_Allocation_Risk'!$H$8:$H$15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Passive Income Collected by Payment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'07_Dividends_Income'!G7</f>
            </strRef>
          </tx>
          <spPr>
            <a:ln>
              <a:prstDash val="solid"/>
            </a:ln>
          </spPr>
          <cat>
            <numRef>
              <f>'07_Dividends_Income'!$C$8:$C$19</f>
            </numRef>
          </cat>
          <val>
            <numRef>
              <f>'07_Dividends_Income'!$G$8:$G$19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Asset Ticker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Gross Payout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30-Year Wealth Compounding Curve by Scenario ($)</a:t>
            </a:r>
          </a:p>
        </rich>
      </tx>
    </title>
    <plotArea>
      <lineChart>
        <grouping val="standard"/>
        <ser>
          <idx val="0"/>
          <order val="0"/>
          <tx>
            <strRef>
              <f>'10_Scenarios_Freedom'!B11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'10_Scenarios_Freedom'!$A$12:$A$16</f>
            </numRef>
          </cat>
          <val>
            <numRef>
              <f>'10_Scenarios_Freedom'!$B$12:$B$16</f>
            </numRef>
          </val>
        </ser>
        <ser>
          <idx val="1"/>
          <order val="1"/>
          <tx>
            <strRef>
              <f>'10_Scenarios_Freedom'!C11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'10_Scenarios_Freedom'!$A$12:$A$16</f>
            </numRef>
          </cat>
          <val>
            <numRef>
              <f>'10_Scenarios_Freedom'!$C$12:$C$16</f>
            </numRef>
          </val>
        </ser>
        <ser>
          <idx val="2"/>
          <order val="2"/>
          <tx>
            <strRef>
              <f>'10_Scenarios_Freedom'!D11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'10_Scenarios_Freedom'!$A$12:$A$16</f>
            </numRef>
          </cat>
          <val>
            <numRef>
              <f>'10_Scenarios_Freedom'!$D$12:$D$16</f>
            </numRef>
          </val>
        </ser>
        <ser>
          <idx val="3"/>
          <order val="3"/>
          <tx>
            <strRef>
              <f>'10_Scenarios_Freedom'!E11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'10_Scenarios_Freedom'!$A$12:$A$16</f>
            </numRef>
          </cat>
          <val>
            <numRef>
              <f>'10_Scenarios_Freedom'!$E$12:$E$16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Horizon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Projected Wealth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28</row>
      <rowOff>0</rowOff>
    </from>
    <ext cx="61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61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6" customHeight="1">
      <c r="A1" s="1">
        <f>HYPERLINK("#01_Start_Here!A1", "🏠 Start")</f>
        <v/>
      </c>
      <c r="B1" s="2">
        <f>HYPERLINK("#02_Dashboard!A1", "📊 Dashboard")</f>
        <v/>
      </c>
      <c r="C1" s="2">
        <f>HYPERLINK("#03_Holdings!A1", "💼 Holdings")</f>
        <v/>
      </c>
      <c r="D1" s="2">
        <f>HYPERLINK("#04_Transactions!A1", "📑 Ledger")</f>
        <v/>
      </c>
      <c r="E1" s="2">
        <f>HYPERLINK("#05_Performance!A1", "📈 Performance")</f>
        <v/>
      </c>
      <c r="F1" s="2">
        <f>HYPERLINK("#06_Allocation_Risk!A1", "🎯 Allocation")</f>
        <v/>
      </c>
      <c r="G1" s="2">
        <f>HYPERLINK("#07_Dividends_Income!A1", "💰 Dividends")</f>
        <v/>
      </c>
      <c r="H1" s="2">
        <f>HYPERLINK("#08_Goals_SIP!A1", "🎯 Goals")</f>
        <v/>
      </c>
      <c r="I1" s="2">
        <f>HYPERLINK("#09_Rebalancing_Drift!A1", "⚖️ Rebalance")</f>
        <v/>
      </c>
      <c r="J1" s="2">
        <f>HYPERLINK("#10_Scenarios_Freedom!A1", "🚀 What-If")</f>
        <v/>
      </c>
      <c r="K1" s="2">
        <f>HYPERLINK("#11_Reviews_Reports!A1", "📋 Reports")</f>
        <v/>
      </c>
      <c r="L1" s="2">
        <f>HYPERLINK("#12_Investment_Journal!A1", "📓 Journal")</f>
        <v/>
      </c>
      <c r="M1" s="2">
        <f>HYPERLINK("#13_Settings_Assumptions!A1", "⚙️ Settings")</f>
        <v/>
      </c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32" customHeight="1">
      <c r="A3" s="4" t="inlineStr">
        <is>
          <t xml:space="preserve">  ULTIMATE PRO INVESTMENT MANAGEMENT SUITE V2.0</t>
        </is>
      </c>
    </row>
    <row r="4" ht="18" customHeight="1">
      <c r="A4" s="5" t="inlineStr">
        <is>
          <t xml:space="preserve">  Institutional-Grade Digital Portfolio Tracking &amp; Analytics Template for Excel</t>
        </is>
      </c>
    </row>
    <row r="5" ht="8" customHeight="1"/>
    <row r="6" ht="22" customHeight="1">
      <c r="A6" s="6" t="inlineStr">
        <is>
          <t>WELCOME TO YOUR PERSONAL INVESTMENT MANAGEMENT SYSTEM</t>
        </is>
      </c>
    </row>
    <row r="7" ht="20" customHeight="1">
      <c r="A7" s="7" t="inlineStr">
        <is>
          <t>WHAT THIS TRACKER DOES</t>
        </is>
      </c>
    </row>
    <row r="8" ht="44" customHeight="1">
      <c r="A8" s="8" t="inlineStr">
        <is>
          <t>Consolidates all your Stocks, ETFs, Mutual Funds, Bonds, REITs, Gold, and Cash in one automated dashboard. Tracks real-time cost basis, realized/unrealized P&amp;L, portfolio dividends, rebalancing drift, historical performance, and financial freedom goals without macros or external API dependencies.</t>
        </is>
      </c>
    </row>
    <row r="10" ht="20" customHeight="1">
      <c r="A10" s="7" t="inlineStr">
        <is>
          <t>HOW TO ENTER DATA</t>
        </is>
      </c>
    </row>
    <row r="11" ht="44" customHeight="1">
      <c r="A11" s="8" t="inlineStr">
        <is>
          <t>1. Enter initial portfolio holdings in '03_Holdings' (or explore with preloaded demo data).
2. Record buys, sells, splits, and deposits in '04_Transactions'.
3. Update Current Market Prices in '03_Holdings' periodically (weekly/monthly).
4. All KPIs, allocations, rebalancing suggestions, and charts calculate automatically!</t>
        </is>
      </c>
    </row>
    <row r="13" ht="20" customHeight="1">
      <c r="A13" s="7" t="inlineStr">
        <is>
          <t>AUTOMATED CALCULATIONS</t>
        </is>
      </c>
    </row>
    <row r="14" ht="44" customHeight="1">
      <c r="A14" s="8" t="inlineStr">
        <is>
          <t>Unrealized P/L = Current Value − Cost Basis.
Realized P/L = Sale Proceeds − Applicable Cost Basis − Fees/Taxes.
TWR (Time-Weighted Return) = Evaluates organic investment skill independent of cash flows.
MWR / XIRR = Measures your personal dollar-weighted annualized return including cash timing.
Cost Basis Assumed: Weighted Average Cost (WAC) methodology.</t>
        </is>
      </c>
    </row>
    <row r="16" ht="20" customHeight="1">
      <c r="A16" s="7" t="inlineStr">
        <is>
          <t>IMPORTANT ASSUMPTIONS &amp; PRIVACY</t>
        </is>
      </c>
    </row>
    <row r="17" ht="44" customHeight="1">
      <c r="A17" s="8" t="inlineStr">
        <is>
          <t>• PRIVACY-FIRST: Absolutely NO passwords, brokerage logins, OTPs, or API keys are required.
• All calculations execute locally inside Microsoft Excel.
• Educational Template: Not personalized financial, legal, or tax advice.
• Currency symbol can be customized in '13_Settings_Assumptions' (USD $, INR ₹, EUR €, GBP £).</t>
        </is>
      </c>
    </row>
    <row r="19">
      <c r="A19" s="6" t="inlineStr">
        <is>
          <t>WORKBOOK CELL COLOR CONVENTIONS</t>
        </is>
      </c>
    </row>
    <row r="20" ht="22" customHeight="1">
      <c r="A20" s="9" t="inlineStr">
        <is>
          <t>EDITABLE CELLS</t>
        </is>
      </c>
      <c r="B20" s="10" t="inlineStr">
        <is>
          <t>Enter your investment tickers, quantities, purchase prices, and transactions here.</t>
        </is>
      </c>
    </row>
    <row r="21" ht="22" customHeight="1">
      <c r="A21" s="11" t="inlineStr">
        <is>
          <t>AUTOMATIC CALCULATIONS</t>
        </is>
      </c>
      <c r="B21" s="10" t="inlineStr">
        <is>
          <t>Formulas calculate automatically. Do not manually overwrite these cells.</t>
        </is>
      </c>
    </row>
    <row r="22" ht="22" customHeight="1">
      <c r="A22" s="12" t="inlineStr">
        <is>
          <t>ALERT / DRIFT STATUS</t>
        </is>
      </c>
      <c r="B22" s="10" t="inlineStr">
        <is>
          <t>Identifies allocation drift, missed contributions, or items requiring your attention.</t>
        </is>
      </c>
    </row>
    <row r="23" ht="22" customHeight="1">
      <c r="A23" s="13" t="inlineStr">
        <is>
          <t>KPI &amp; HIGHLIGHT METRICS</t>
        </is>
      </c>
      <c r="B23" s="10" t="inlineStr">
        <is>
          <t>Key summaries, portfolio values, and return metrics.</t>
        </is>
      </c>
    </row>
    <row r="25" ht="24" customHeight="1">
      <c r="A25" s="14" t="inlineStr">
        <is>
          <t>NEED A CUSTOM VERSION OR SPECIALIZED EXCEL ENGINEERING?</t>
        </is>
      </c>
    </row>
    <row r="26" ht="110" customHeight="1">
      <c r="A26" s="15" t="inlineStr">
        <is>
          <t>Custom Parade Seat बनवाने के लिए सहायता चाहिए? संपर्क करें:
📱 WhatsApp: +91 95094 75762
✈️ Telegram: https://t.me/V_sangwal
📸 Instagram: https://www.instagram.com/vikas_sangwal_05/
💼 LinkedIn: https://www.linkedin.com/in/vikassangwal
अपनी आवश्यकता के साथ सीधे संपर्क करें।</t>
        </is>
      </c>
    </row>
  </sheetData>
  <mergeCells count="16">
    <mergeCell ref="A8:J8"/>
    <mergeCell ref="A14:J14"/>
    <mergeCell ref="B20:J20"/>
    <mergeCell ref="A17:J17"/>
    <mergeCell ref="B22:J22"/>
    <mergeCell ref="A3:J3"/>
    <mergeCell ref="B23:J23"/>
    <mergeCell ref="A4:J4"/>
    <mergeCell ref="A7:J7"/>
    <mergeCell ref="A26:J26"/>
    <mergeCell ref="A16:J16"/>
    <mergeCell ref="A10:J10"/>
    <mergeCell ref="A25:J25"/>
    <mergeCell ref="B21:J21"/>
    <mergeCell ref="A13:J13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2" customWidth="1" min="4" max="4"/>
    <col width="12" customWidth="1" min="5" max="5"/>
    <col width="4" customWidth="1" min="6" max="6"/>
    <col width="8" customWidth="1" min="7" max="7"/>
    <col width="22" customWidth="1" min="8" max="8"/>
    <col width="10" customWidth="1" min="9" max="9"/>
    <col width="16" customWidth="1" min="10" max="10"/>
    <col width="12" customWidth="1" min="11" max="11"/>
    <col width="12" customWidth="1" min="12" max="12"/>
  </cols>
  <sheetData>
    <row r="1" ht="26" customHeight="1">
      <c r="A1" s="2">
        <f>HYPERLINK("#01_Start_Here!A1", "🏠 Start")</f>
        <v/>
      </c>
      <c r="B1" s="1">
        <f>HYPERLINK("#02_Dashboard!A1", "📊 Dashboard")</f>
        <v/>
      </c>
      <c r="C1" s="2">
        <f>HYPERLINK("#03_Holdings!A1", "💼 Holdings")</f>
        <v/>
      </c>
      <c r="D1" s="2">
        <f>HYPERLINK("#04_Transactions!A1", "📑 Ledger")</f>
        <v/>
      </c>
      <c r="E1" s="2">
        <f>HYPERLINK("#05_Performance!A1", "📈 Performance")</f>
        <v/>
      </c>
      <c r="F1" s="2">
        <f>HYPERLINK("#06_Allocation_Risk!A1", "🎯 Allocation")</f>
        <v/>
      </c>
      <c r="G1" s="2">
        <f>HYPERLINK("#07_Dividends_Income!A1", "💰 Dividends")</f>
        <v/>
      </c>
      <c r="H1" s="2">
        <f>HYPERLINK("#08_Goals_SIP!A1", "🎯 Goals")</f>
        <v/>
      </c>
      <c r="I1" s="2">
        <f>HYPERLINK("#09_Rebalancing_Drift!A1", "⚖️ Rebalance")</f>
        <v/>
      </c>
      <c r="J1" s="2">
        <f>HYPERLINK("#10_Scenarios_Freedom!A1", "🚀 What-If")</f>
        <v/>
      </c>
      <c r="K1" s="2">
        <f>HYPERLINK("#11_Reviews_Reports!A1", "📋 Reports")</f>
        <v/>
      </c>
      <c r="L1" s="2">
        <f>HYPERLINK("#12_Investment_Journal!A1", "📓 Journal")</f>
        <v/>
      </c>
      <c r="M1" s="2">
        <f>HYPERLINK("#13_Settings_Assumptions!A1", "⚙️ Settings")</f>
        <v/>
      </c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 ht="32" customHeight="1">
      <c r="A3" s="4" t="inlineStr">
        <is>
          <t xml:space="preserve">  PORTFOLIO MASTER DASHBOARD</t>
        </is>
      </c>
    </row>
    <row r="4" ht="18" customHeight="1">
      <c r="A4" s="5" t="inlineStr">
        <is>
          <t xml:space="preserve">  Real-Time Executive Wealth Intelligence, Allocation &amp; Risk Performance</t>
        </is>
      </c>
    </row>
    <row r="5" ht="8" customHeight="1"/>
    <row r="6" ht="18" customHeight="1">
      <c r="A6" s="16" t="inlineStr">
        <is>
          <t>CURRENT PORTFOLIO VALUE</t>
        </is>
      </c>
      <c r="B6" s="17" t="n"/>
      <c r="C6" s="17" t="n"/>
      <c r="D6" s="16" t="inlineStr">
        <is>
          <t>TOTAL INVESTED CAPITAL</t>
        </is>
      </c>
      <c r="E6" s="17" t="n"/>
      <c r="F6" s="17" t="n"/>
      <c r="G6" s="16" t="inlineStr">
        <is>
          <t>UNREALIZED PROFIT / LOSS</t>
        </is>
      </c>
      <c r="H6" s="17" t="n"/>
      <c r="I6" s="17" t="n"/>
      <c r="J6" s="16" t="inlineStr">
        <is>
          <t>TOTAL RETURN %</t>
        </is>
      </c>
      <c r="K6" s="17" t="n"/>
      <c r="L6" s="17" t="n"/>
    </row>
    <row r="7" ht="28" customHeight="1">
      <c r="A7" s="18">
        <f>'03_Holdings'!M6</f>
        <v/>
      </c>
      <c r="B7" s="17" t="n"/>
      <c r="C7" s="17" t="n"/>
      <c r="D7" s="18">
        <f>'03_Holdings'!L6</f>
        <v/>
      </c>
      <c r="E7" s="17" t="n"/>
      <c r="F7" s="17" t="n"/>
      <c r="G7" s="18">
        <f>'03_Holdings'!N6</f>
        <v/>
      </c>
      <c r="H7" s="17" t="n"/>
      <c r="I7" s="17" t="n"/>
      <c r="J7" s="19">
        <f>'03_Holdings'!O6</f>
        <v/>
      </c>
      <c r="K7" s="17" t="n"/>
      <c r="L7" s="17" t="n"/>
    </row>
    <row r="8" ht="16" customHeight="1">
      <c r="A8" s="20" t="inlineStr">
        <is>
          <t>Total Market Value + Cash</t>
        </is>
      </c>
      <c r="B8" s="17" t="n"/>
      <c r="C8" s="17" t="n"/>
      <c r="D8" s="20" t="inlineStr">
        <is>
          <t>Net Capital Put to Work</t>
        </is>
      </c>
      <c r="E8" s="17" t="n"/>
      <c r="F8" s="17" t="n"/>
      <c r="G8" s="20" t="inlineStr">
        <is>
          <t>Open Gains (Excl. Realized)</t>
        </is>
      </c>
      <c r="H8" s="17" t="n"/>
      <c r="I8" s="17" t="n"/>
      <c r="J8" s="20" t="inlineStr">
        <is>
          <t>Lifetime Portfolio Performance</t>
        </is>
      </c>
      <c r="K8" s="17" t="n"/>
      <c r="L8" s="17" t="n"/>
    </row>
    <row r="10" ht="18" customHeight="1">
      <c r="A10" s="16" t="inlineStr">
        <is>
          <t>ANNUALIZED RETURN (CAGR)</t>
        </is>
      </c>
      <c r="B10" s="17" t="n"/>
      <c r="C10" s="17" t="n"/>
      <c r="D10" s="16" t="inlineStr">
        <is>
          <t>REALIZED P/L (CLOSED TRADES)</t>
        </is>
      </c>
      <c r="E10" s="17" t="n"/>
      <c r="F10" s="17" t="n"/>
      <c r="G10" s="16" t="inlineStr">
        <is>
          <t>TOTAL DIVIDENDS COLLECTED</t>
        </is>
      </c>
      <c r="H10" s="17" t="n"/>
      <c r="I10" s="17" t="n"/>
      <c r="J10" s="16" t="inlineStr">
        <is>
          <t>CASH &amp; EQUIVALENTS</t>
        </is>
      </c>
      <c r="K10" s="17" t="n"/>
      <c r="L10" s="17" t="n"/>
    </row>
    <row r="11" ht="26" customHeight="1">
      <c r="A11" s="21">
        <f>'05_Performance'!F24</f>
        <v/>
      </c>
      <c r="B11" s="17" t="n"/>
      <c r="C11" s="17" t="n"/>
      <c r="D11" s="22">
        <f>'04_Transactions'!L6</f>
        <v/>
      </c>
      <c r="E11" s="17" t="n"/>
      <c r="F11" s="17" t="n"/>
      <c r="G11" s="22">
        <f>'07_Dividends_Income'!G6</f>
        <v/>
      </c>
      <c r="H11" s="17" t="n"/>
      <c r="I11" s="17" t="n"/>
      <c r="J11" s="22">
        <f>'03_Holdings'!M22</f>
        <v/>
      </c>
      <c r="K11" s="17" t="n"/>
      <c r="L11" s="17" t="n"/>
    </row>
    <row r="12" ht="16" customHeight="1">
      <c r="A12" s="20" t="inlineStr">
        <is>
          <t>Compound Annual Growth</t>
        </is>
      </c>
      <c r="B12" s="17" t="n"/>
      <c r="C12" s="17" t="n"/>
      <c r="D12" s="20" t="inlineStr">
        <is>
          <t>Booked Gains from Ledger</t>
        </is>
      </c>
      <c r="E12" s="17" t="n"/>
      <c r="F12" s="17" t="n"/>
      <c r="G12" s="20" t="inlineStr">
        <is>
          <t>Cumulative Passive Income</t>
        </is>
      </c>
      <c r="H12" s="17" t="n"/>
      <c r="I12" s="17" t="n"/>
      <c r="J12" s="20" t="inlineStr">
        <is>
          <t>Dry Powder &amp; Liquid Capital</t>
        </is>
      </c>
      <c r="K12" s="17" t="n"/>
      <c r="L12" s="17" t="n"/>
    </row>
    <row r="14" ht="20" customHeight="1">
      <c r="A14" s="23" t="inlineStr">
        <is>
          <t>💡 AUTOMATED SMART PORTFOLIO INSIGHTS</t>
        </is>
      </c>
    </row>
    <row r="15" ht="19" customHeight="1">
      <c r="A15" s="24">
        <f>"• PORTFOLIO PERFORMANCE: Total unrealized gain is " &amp; TEXT('03_Holdings'!N6, "$#,##0") &amp; " (" &amp; TEXT('03_Holdings'!O6, "+0.0%") &amp; ") across " &amp; COUNTA('03_Holdings'!B8:B22) &amp; " active positions."</f>
        <v/>
      </c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</row>
    <row r="16" ht="19" customHeight="1">
      <c r="A16" s="26">
        <f>"• ALLOCATION BALANCE: Equities represent " &amp; TEXT('06_Allocation_Risk'!C8, "0.0%") &amp; " of total capital, currently " &amp; IF('06_Allocation_Risk'!E8&gt;0, "overweight target by " &amp; TEXT('06_Allocation_Risk'!E8, "0.0%"), "within target boundaries") &amp; "."</f>
        <v/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</row>
    <row r="17" ht="19" customHeight="1">
      <c r="A17" s="26">
        <f>"• CASH POSITION: Dry powder stands at " &amp; TEXT('03_Holdings'!M22, "$#,##0") &amp; " (" &amp; TEXT('06_Allocation_Risk'!C13, "0.0%") &amp; " of portfolio), ensuring liquidity for opportunistic buys."</f>
        <v/>
      </c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</row>
    <row r="18" ht="19" customHeight="1">
      <c r="A18" s="28">
        <f>"• DIVIDEND RUN-RATE: Cumulative passive income collected is " &amp; TEXT('07_Dividends_Income'!G6, "$#,##0") &amp; " with current portfolio dividend yield of " &amp; TEXT('07_Dividends_Income'!K6, "0.00%") &amp; "."</f>
        <v/>
      </c>
      <c r="B18" s="29" t="n"/>
      <c r="C18" s="29" t="n"/>
      <c r="D18" s="29" t="n"/>
      <c r="E18" s="29" t="n"/>
      <c r="F18" s="29" t="n"/>
      <c r="G18" s="29" t="n"/>
      <c r="H18" s="29" t="n"/>
      <c r="I18" s="29" t="n"/>
      <c r="J18" s="29" t="n"/>
      <c r="K18" s="29" t="n"/>
      <c r="L18" s="29" t="n"/>
    </row>
    <row r="20" ht="20" customHeight="1">
      <c r="A20" s="6" t="inlineStr">
        <is>
          <t>ASSET ALLOCATION BREAKDOWN</t>
        </is>
      </c>
      <c r="G20" s="6" t="inlineStr">
        <is>
          <t>TOP HOLDINGS BY MARKET VALUE</t>
        </is>
      </c>
    </row>
    <row r="21" ht="20" customHeight="1">
      <c r="A21" s="30" t="inlineStr">
        <is>
          <t>Asset Class</t>
        </is>
      </c>
      <c r="B21" s="30" t="inlineStr">
        <is>
          <t>Current Value</t>
        </is>
      </c>
      <c r="C21" s="30" t="inlineStr">
        <is>
          <t>Weight %</t>
        </is>
      </c>
      <c r="D21" s="30" t="inlineStr">
        <is>
          <t>Target %</t>
        </is>
      </c>
      <c r="E21" s="30" t="inlineStr">
        <is>
          <t>Drift %</t>
        </is>
      </c>
      <c r="G21" s="30" t="inlineStr">
        <is>
          <t>Rank</t>
        </is>
      </c>
      <c r="H21" s="30" t="inlineStr">
        <is>
          <t>Holding</t>
        </is>
      </c>
      <c r="I21" s="30" t="inlineStr">
        <is>
          <t>Ticker</t>
        </is>
      </c>
      <c r="J21" s="30" t="inlineStr">
        <is>
          <t>Current Value</t>
        </is>
      </c>
      <c r="K21" s="30" t="inlineStr">
        <is>
          <t>Weight %</t>
        </is>
      </c>
      <c r="L21" s="30" t="inlineStr">
        <is>
          <t>Return %</t>
        </is>
      </c>
    </row>
    <row r="22" ht="19" customHeight="1">
      <c r="A22" s="31" t="inlineStr">
        <is>
          <t>Stocks (Equities)</t>
        </is>
      </c>
      <c r="B22" s="32">
        <f>'06_Allocation_Risk'!B8</f>
        <v/>
      </c>
      <c r="C22" s="33">
        <f>'06_Allocation_Risk'!C8</f>
        <v/>
      </c>
      <c r="D22" s="34">
        <f>'06_Allocation_Risk'!D8</f>
        <v/>
      </c>
      <c r="E22" s="35">
        <f>'06_Allocation_Risk'!E8</f>
        <v/>
      </c>
      <c r="G22" s="36" t="inlineStr">
        <is>
          <t>#1</t>
        </is>
      </c>
      <c r="H22" s="37">
        <f>'03_Holdings'!B8</f>
        <v/>
      </c>
      <c r="I22" s="36">
        <f>'03_Holdings'!C8</f>
        <v/>
      </c>
      <c r="J22" s="32">
        <f>'03_Holdings'!M8</f>
        <v/>
      </c>
      <c r="K22" s="33">
        <f>'03_Holdings'!P8</f>
        <v/>
      </c>
      <c r="L22" s="35">
        <f>'03_Holdings'!O8</f>
        <v/>
      </c>
    </row>
    <row r="23" ht="19" customHeight="1">
      <c r="A23" s="31" t="inlineStr">
        <is>
          <t>ETFs &amp; Index Funds</t>
        </is>
      </c>
      <c r="B23" s="32">
        <f>'06_Allocation_Risk'!B9</f>
        <v/>
      </c>
      <c r="C23" s="33">
        <f>'06_Allocation_Risk'!C9</f>
        <v/>
      </c>
      <c r="D23" s="34">
        <f>'06_Allocation_Risk'!D9</f>
        <v/>
      </c>
      <c r="E23" s="35">
        <f>'06_Allocation_Risk'!E9</f>
        <v/>
      </c>
      <c r="G23" s="36" t="inlineStr">
        <is>
          <t>#2</t>
        </is>
      </c>
      <c r="H23" s="37">
        <f>'03_Holdings'!B9</f>
        <v/>
      </c>
      <c r="I23" s="36">
        <f>'03_Holdings'!C9</f>
        <v/>
      </c>
      <c r="J23" s="32">
        <f>'03_Holdings'!M9</f>
        <v/>
      </c>
      <c r="K23" s="33">
        <f>'03_Holdings'!P9</f>
        <v/>
      </c>
      <c r="L23" s="35">
        <f>'03_Holdings'!O9</f>
        <v/>
      </c>
    </row>
    <row r="24" ht="19" customHeight="1">
      <c r="A24" s="31" t="inlineStr">
        <is>
          <t>Fixed Income / Bonds</t>
        </is>
      </c>
      <c r="B24" s="32">
        <f>'06_Allocation_Risk'!B10</f>
        <v/>
      </c>
      <c r="C24" s="33">
        <f>'06_Allocation_Risk'!C10</f>
        <v/>
      </c>
      <c r="D24" s="34">
        <f>'06_Allocation_Risk'!D10</f>
        <v/>
      </c>
      <c r="E24" s="35">
        <f>'06_Allocation_Risk'!E10</f>
        <v/>
      </c>
      <c r="G24" s="36" t="inlineStr">
        <is>
          <t>#3</t>
        </is>
      </c>
      <c r="H24" s="37">
        <f>'03_Holdings'!B10</f>
        <v/>
      </c>
      <c r="I24" s="36">
        <f>'03_Holdings'!C10</f>
        <v/>
      </c>
      <c r="J24" s="32">
        <f>'03_Holdings'!M10</f>
        <v/>
      </c>
      <c r="K24" s="33">
        <f>'03_Holdings'!P10</f>
        <v/>
      </c>
      <c r="L24" s="35">
        <f>'03_Holdings'!O10</f>
        <v/>
      </c>
    </row>
    <row r="25" ht="19" customHeight="1">
      <c r="A25" s="31" t="inlineStr">
        <is>
          <t>Real Estate (REITs)</t>
        </is>
      </c>
      <c r="B25" s="32">
        <f>'06_Allocation_Risk'!B11</f>
        <v/>
      </c>
      <c r="C25" s="33">
        <f>'06_Allocation_Risk'!C11</f>
        <v/>
      </c>
      <c r="D25" s="34">
        <f>'06_Allocation_Risk'!D11</f>
        <v/>
      </c>
      <c r="E25" s="35">
        <f>'06_Allocation_Risk'!E11</f>
        <v/>
      </c>
      <c r="G25" s="36" t="inlineStr">
        <is>
          <t>#4</t>
        </is>
      </c>
      <c r="H25" s="37">
        <f>'03_Holdings'!B11</f>
        <v/>
      </c>
      <c r="I25" s="36">
        <f>'03_Holdings'!C11</f>
        <v/>
      </c>
      <c r="J25" s="32">
        <f>'03_Holdings'!M11</f>
        <v/>
      </c>
      <c r="K25" s="33">
        <f>'03_Holdings'!P11</f>
        <v/>
      </c>
      <c r="L25" s="35">
        <f>'03_Holdings'!O11</f>
        <v/>
      </c>
    </row>
    <row r="26" ht="19" customHeight="1">
      <c r="A26" s="31" t="inlineStr">
        <is>
          <t>Gold &amp; Commodities</t>
        </is>
      </c>
      <c r="B26" s="32">
        <f>'06_Allocation_Risk'!B12</f>
        <v/>
      </c>
      <c r="C26" s="33">
        <f>'06_Allocation_Risk'!C12</f>
        <v/>
      </c>
      <c r="D26" s="34">
        <f>'06_Allocation_Risk'!D12</f>
        <v/>
      </c>
      <c r="E26" s="35">
        <f>'06_Allocation_Risk'!E12</f>
        <v/>
      </c>
      <c r="G26" s="36" t="inlineStr">
        <is>
          <t>#5</t>
        </is>
      </c>
      <c r="H26" s="37">
        <f>'03_Holdings'!B12</f>
        <v/>
      </c>
      <c r="I26" s="36">
        <f>'03_Holdings'!C12</f>
        <v/>
      </c>
      <c r="J26" s="32">
        <f>'03_Holdings'!M12</f>
        <v/>
      </c>
      <c r="K26" s="33">
        <f>'03_Holdings'!P12</f>
        <v/>
      </c>
      <c r="L26" s="35">
        <f>'03_Holdings'!O12</f>
        <v/>
      </c>
    </row>
    <row r="27" ht="19" customHeight="1">
      <c r="A27" s="31" t="inlineStr">
        <is>
          <t>Cash &amp; Equivalents</t>
        </is>
      </c>
      <c r="B27" s="32">
        <f>'06_Allocation_Risk'!B13</f>
        <v/>
      </c>
      <c r="C27" s="33">
        <f>'06_Allocation_Risk'!C13</f>
        <v/>
      </c>
      <c r="D27" s="34">
        <f>'06_Allocation_Risk'!D13</f>
        <v/>
      </c>
      <c r="E27" s="35">
        <f>'06_Allocation_Risk'!E13</f>
        <v/>
      </c>
    </row>
  </sheetData>
  <mergeCells count="33">
    <mergeCell ref="J6:L6"/>
    <mergeCell ref="A16:L16"/>
    <mergeCell ref="D11:F11"/>
    <mergeCell ref="G10:I10"/>
    <mergeCell ref="G6:I6"/>
    <mergeCell ref="A18:L18"/>
    <mergeCell ref="A12:C12"/>
    <mergeCell ref="D7:F7"/>
    <mergeCell ref="A3:L3"/>
    <mergeCell ref="J11:L11"/>
    <mergeCell ref="J7:L7"/>
    <mergeCell ref="A8:C8"/>
    <mergeCell ref="D12:F12"/>
    <mergeCell ref="A14:L14"/>
    <mergeCell ref="A17:L17"/>
    <mergeCell ref="J12:L12"/>
    <mergeCell ref="D8:F8"/>
    <mergeCell ref="G20:L20"/>
    <mergeCell ref="A4:L4"/>
    <mergeCell ref="A10:C10"/>
    <mergeCell ref="J8:L8"/>
    <mergeCell ref="G12:I12"/>
    <mergeCell ref="D10:F10"/>
    <mergeCell ref="G11:I11"/>
    <mergeCell ref="A15:L15"/>
    <mergeCell ref="A11:C11"/>
    <mergeCell ref="A20:E20"/>
    <mergeCell ref="J10:L10"/>
    <mergeCell ref="A6:C6"/>
    <mergeCell ref="D6:F6"/>
    <mergeCell ref="G8:I8"/>
    <mergeCell ref="A7:C7"/>
    <mergeCell ref="G7:I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"/>
  <sheetViews>
    <sheetView showGridLines="1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15" customWidth="1" min="4" max="4"/>
    <col width="16" customWidth="1" min="5" max="5"/>
    <col width="18" customWidth="1" min="6" max="6"/>
    <col width="14" customWidth="1" min="7" max="7"/>
    <col width="16" customWidth="1" min="8" max="8"/>
    <col width="12" customWidth="1" min="9" max="9"/>
    <col width="14" customWidth="1" min="10" max="10"/>
    <col width="14" customWidth="1" min="11" max="11"/>
    <col width="15" customWidth="1" min="12" max="12"/>
    <col width="15" customWidth="1" min="13" max="13"/>
    <col width="15" customWidth="1" min="14" max="14"/>
    <col width="12" customWidth="1" min="15" max="15"/>
    <col width="11" customWidth="1" min="16" max="16"/>
    <col width="11" customWidth="1" min="17" max="17"/>
    <col width="11" customWidth="1" min="18" max="18"/>
    <col width="14" customWidth="1" min="19" max="19"/>
    <col width="26" customWidth="1" min="20" max="20"/>
  </cols>
  <sheetData>
    <row r="1" ht="26" customHeight="1">
      <c r="A1" s="2">
        <f>HYPERLINK("#01_Start_Here!A1", "🏠 Start")</f>
        <v/>
      </c>
      <c r="B1" s="2">
        <f>HYPERLINK("#02_Dashboard!A1", "📊 Dashboard")</f>
        <v/>
      </c>
      <c r="C1" s="1">
        <f>HYPERLINK("#03_Holdings!A1", "💼 Holdings")</f>
        <v/>
      </c>
      <c r="D1" s="2">
        <f>HYPERLINK("#04_Transactions!A1", "📑 Ledger")</f>
        <v/>
      </c>
      <c r="E1" s="2">
        <f>HYPERLINK("#05_Performance!A1", "📈 Performance")</f>
        <v/>
      </c>
      <c r="F1" s="2">
        <f>HYPERLINK("#06_Allocation_Risk!A1", "🎯 Allocation")</f>
        <v/>
      </c>
      <c r="G1" s="2">
        <f>HYPERLINK("#07_Dividends_Income!A1", "💰 Dividends")</f>
        <v/>
      </c>
      <c r="H1" s="2">
        <f>HYPERLINK("#08_Goals_SIP!A1", "🎯 Goals")</f>
        <v/>
      </c>
      <c r="I1" s="2">
        <f>HYPERLINK("#09_Rebalancing_Drift!A1", "⚖️ Rebalance")</f>
        <v/>
      </c>
      <c r="J1" s="2">
        <f>HYPERLINK("#10_Scenarios_Freedom!A1", "🚀 What-If")</f>
        <v/>
      </c>
      <c r="K1" s="2">
        <f>HYPERLINK("#11_Reviews_Reports!A1", "📋 Reports")</f>
        <v/>
      </c>
      <c r="L1" s="2">
        <f>HYPERLINK("#12_Investment_Journal!A1", "📓 Journal")</f>
        <v/>
      </c>
      <c r="M1" s="2">
        <f>HYPERLINK("#13_Settings_Assumptions!A1", "⚙️ Settings")</f>
        <v/>
      </c>
      <c r="N1" s="38" t="n"/>
      <c r="O1" s="38" t="n"/>
      <c r="P1" s="38" t="n"/>
      <c r="Q1" s="38" t="n"/>
      <c r="R1" s="38" t="n"/>
      <c r="S1" s="38" t="n"/>
      <c r="T1" s="38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 ht="32" customHeight="1">
      <c r="A3" s="4" t="inlineStr">
        <is>
          <t xml:space="preserve">  HOLDINGS DATABASE &amp; COST BASIS TRACKER</t>
        </is>
      </c>
    </row>
    <row r="4" ht="18" customHeight="1">
      <c r="A4" s="5" t="inlineStr">
        <is>
          <t xml:space="preserve">  Comprehensive Multi-Asset Portfolio Holdings with Automated P/L &amp; Weight Tracking</t>
        </is>
      </c>
    </row>
    <row r="5" ht="8" customHeight="1"/>
    <row r="6" ht="24" customHeight="1">
      <c r="A6" s="39" t="inlineStr">
        <is>
          <t>PORTFOLIO TOTALS &amp; AGGREGATE PERFORMANCE</t>
        </is>
      </c>
      <c r="L6" s="40">
        <f>SUM(L8:L25)</f>
        <v/>
      </c>
      <c r="M6" s="40">
        <f>SUM(M8:M25)</f>
        <v/>
      </c>
      <c r="N6" s="40">
        <f>M6-L6</f>
        <v/>
      </c>
      <c r="O6" s="41">
        <f>IFERROR(N6/L6, 0)</f>
        <v/>
      </c>
      <c r="P6" s="42">
        <f>SUM(P8:P25)</f>
        <v/>
      </c>
      <c r="Q6" s="43" t="inlineStr">
        <is>
          <t>Target Sum: =SUM(Q8:Q25)</t>
        </is>
      </c>
    </row>
    <row r="7" ht="24" customHeight="1">
      <c r="A7" s="30" t="inlineStr">
        <is>
          <t>ID</t>
        </is>
      </c>
      <c r="B7" s="30" t="inlineStr">
        <is>
          <t>Asset Name</t>
        </is>
      </c>
      <c r="C7" s="30" t="inlineStr">
        <is>
          <t>Ticker</t>
        </is>
      </c>
      <c r="D7" s="30" t="inlineStr">
        <is>
          <t>Asset Type</t>
        </is>
      </c>
      <c r="E7" s="30" t="inlineStr">
        <is>
          <t>Sector</t>
        </is>
      </c>
      <c r="F7" s="30" t="inlineStr">
        <is>
          <t>Industry</t>
        </is>
      </c>
      <c r="G7" s="30" t="inlineStr">
        <is>
          <t>Country</t>
        </is>
      </c>
      <c r="H7" s="30" t="inlineStr">
        <is>
          <t>Broker / Account</t>
        </is>
      </c>
      <c r="I7" s="30" t="inlineStr">
        <is>
          <t>Quantity</t>
        </is>
      </c>
      <c r="J7" s="30" t="inlineStr">
        <is>
          <t>Avg Buy Price</t>
        </is>
      </c>
      <c r="K7" s="30" t="inlineStr">
        <is>
          <t>Current Price</t>
        </is>
      </c>
      <c r="L7" s="30" t="inlineStr">
        <is>
          <t>Invested Cost</t>
        </is>
      </c>
      <c r="M7" s="30" t="inlineStr">
        <is>
          <t>Current Value</t>
        </is>
      </c>
      <c r="N7" s="30" t="inlineStr">
        <is>
          <t>Unrealized P/L</t>
        </is>
      </c>
      <c r="O7" s="30" t="inlineStr">
        <is>
          <t>Return %</t>
        </is>
      </c>
      <c r="P7" s="30" t="inlineStr">
        <is>
          <t>Weight %</t>
        </is>
      </c>
      <c r="Q7" s="30" t="inlineStr">
        <is>
          <t>Target %</t>
        </is>
      </c>
      <c r="R7" s="30" t="inlineStr">
        <is>
          <t>Drift %</t>
        </is>
      </c>
      <c r="S7" s="30" t="inlineStr">
        <is>
          <t>First Purchased</t>
        </is>
      </c>
      <c r="T7" s="30" t="inlineStr">
        <is>
          <t>Investment Notes</t>
        </is>
      </c>
    </row>
    <row r="8" ht="19" customHeight="1">
      <c r="A8" s="44" t="inlineStr">
        <is>
          <t>INV-001</t>
        </is>
      </c>
      <c r="B8" s="31" t="inlineStr">
        <is>
          <t>Apple Inc.</t>
        </is>
      </c>
      <c r="C8" s="36" t="inlineStr">
        <is>
          <t>AAPL</t>
        </is>
      </c>
      <c r="D8" s="44" t="inlineStr">
        <is>
          <t>Stocks</t>
        </is>
      </c>
      <c r="E8" s="37" t="inlineStr">
        <is>
          <t>Technology</t>
        </is>
      </c>
      <c r="F8" s="37" t="inlineStr">
        <is>
          <t>Consumer Electronics</t>
        </is>
      </c>
      <c r="G8" s="44" t="inlineStr">
        <is>
          <t>United States</t>
        </is>
      </c>
      <c r="H8" s="44" t="inlineStr">
        <is>
          <t>Fidelity</t>
        </is>
      </c>
      <c r="I8" s="45" t="n">
        <v>85</v>
      </c>
      <c r="J8" s="46" t="n">
        <v>175.5</v>
      </c>
      <c r="K8" s="47" t="n">
        <v>224.23</v>
      </c>
      <c r="L8" s="48">
        <f>I8*J8</f>
        <v/>
      </c>
      <c r="M8" s="49">
        <f>I8*K8</f>
        <v/>
      </c>
      <c r="N8" s="49">
        <f>M8-L8</f>
        <v/>
      </c>
      <c r="O8" s="35">
        <f>IFERROR(N8/L8, 0)</f>
        <v/>
      </c>
      <c r="P8" s="34">
        <f>IFERROR(M8/$M$6, 0)</f>
        <v/>
      </c>
      <c r="Q8" s="50" t="n">
        <v>0.09</v>
      </c>
      <c r="R8" s="35">
        <f>P8-Q8</f>
        <v/>
      </c>
      <c r="S8" s="44" t="inlineStr">
        <is>
          <t>2023-01-15</t>
        </is>
      </c>
      <c r="T8" s="37" t="inlineStr">
        <is>
          <t>Core tech ecosystem compounder</t>
        </is>
      </c>
    </row>
    <row r="9" ht="19" customHeight="1">
      <c r="A9" s="44" t="inlineStr">
        <is>
          <t>INV-002</t>
        </is>
      </c>
      <c r="B9" s="31" t="inlineStr">
        <is>
          <t>Microsoft Corp.</t>
        </is>
      </c>
      <c r="C9" s="36" t="inlineStr">
        <is>
          <t>MSFT</t>
        </is>
      </c>
      <c r="D9" s="44" t="inlineStr">
        <is>
          <t>Stocks</t>
        </is>
      </c>
      <c r="E9" s="37" t="inlineStr">
        <is>
          <t>Technology</t>
        </is>
      </c>
      <c r="F9" s="37" t="inlineStr">
        <is>
          <t>Software Infrastructure</t>
        </is>
      </c>
      <c r="G9" s="44" t="inlineStr">
        <is>
          <t>United States</t>
        </is>
      </c>
      <c r="H9" s="44" t="inlineStr">
        <is>
          <t>Fidelity</t>
        </is>
      </c>
      <c r="I9" s="45" t="n">
        <v>45</v>
      </c>
      <c r="J9" s="46" t="n">
        <v>340.2</v>
      </c>
      <c r="K9" s="47" t="n">
        <v>448.37</v>
      </c>
      <c r="L9" s="48">
        <f>I9*J9</f>
        <v/>
      </c>
      <c r="M9" s="49">
        <f>I9*K9</f>
        <v/>
      </c>
      <c r="N9" s="49">
        <f>M9-L9</f>
        <v/>
      </c>
      <c r="O9" s="35">
        <f>IFERROR(N9/L9, 0)</f>
        <v/>
      </c>
      <c r="P9" s="34">
        <f>IFERROR(M9/$M$6, 0)</f>
        <v/>
      </c>
      <c r="Q9" s="50" t="n">
        <v>0.1</v>
      </c>
      <c r="R9" s="35">
        <f>P9-Q9</f>
        <v/>
      </c>
      <c r="S9" s="44" t="inlineStr">
        <is>
          <t>2023-02-10</t>
        </is>
      </c>
      <c r="T9" s="37" t="inlineStr">
        <is>
          <t>Cloud Azure &amp; Enterprise AI leader</t>
        </is>
      </c>
    </row>
    <row r="10" ht="19" customHeight="1">
      <c r="A10" s="44" t="inlineStr">
        <is>
          <t>INV-003</t>
        </is>
      </c>
      <c r="B10" s="31" t="inlineStr">
        <is>
          <t>Alphabet Inc.</t>
        </is>
      </c>
      <c r="C10" s="36" t="inlineStr">
        <is>
          <t>GOOGL</t>
        </is>
      </c>
      <c r="D10" s="44" t="inlineStr">
        <is>
          <t>Stocks</t>
        </is>
      </c>
      <c r="E10" s="37" t="inlineStr">
        <is>
          <t>Communication</t>
        </is>
      </c>
      <c r="F10" s="37" t="inlineStr">
        <is>
          <t>Internet &amp; Advertising</t>
        </is>
      </c>
      <c r="G10" s="44" t="inlineStr">
        <is>
          <t>United States</t>
        </is>
      </c>
      <c r="H10" s="44" t="inlineStr">
        <is>
          <t>Charles Schwab</t>
        </is>
      </c>
      <c r="I10" s="45" t="n">
        <v>70</v>
      </c>
      <c r="J10" s="46" t="n">
        <v>132.8</v>
      </c>
      <c r="K10" s="47" t="n">
        <v>168.45</v>
      </c>
      <c r="L10" s="48">
        <f>I10*J10</f>
        <v/>
      </c>
      <c r="M10" s="49">
        <f>I10*K10</f>
        <v/>
      </c>
      <c r="N10" s="49">
        <f>M10-L10</f>
        <v/>
      </c>
      <c r="O10" s="35">
        <f>IFERROR(N10/L10, 0)</f>
        <v/>
      </c>
      <c r="P10" s="34">
        <f>IFERROR(M10/$M$6, 0)</f>
        <v/>
      </c>
      <c r="Q10" s="50" t="n">
        <v>0.06</v>
      </c>
      <c r="R10" s="35">
        <f>P10-Q10</f>
        <v/>
      </c>
      <c r="S10" s="44" t="inlineStr">
        <is>
          <t>2023-04-12</t>
        </is>
      </c>
      <c r="T10" s="37" t="inlineStr">
        <is>
          <t>Search monopoly + YouTube + DeepMind</t>
        </is>
      </c>
    </row>
    <row r="11" ht="19" customHeight="1">
      <c r="A11" s="44" t="inlineStr">
        <is>
          <t>INV-004</t>
        </is>
      </c>
      <c r="B11" s="31" t="inlineStr">
        <is>
          <t>NVIDIA Corporation</t>
        </is>
      </c>
      <c r="C11" s="36" t="inlineStr">
        <is>
          <t>NVDA</t>
        </is>
      </c>
      <c r="D11" s="44" t="inlineStr">
        <is>
          <t>Stocks</t>
        </is>
      </c>
      <c r="E11" s="37" t="inlineStr">
        <is>
          <t>Technology</t>
        </is>
      </c>
      <c r="F11" s="37" t="inlineStr">
        <is>
          <t>Semiconductors</t>
        </is>
      </c>
      <c r="G11" s="44" t="inlineStr">
        <is>
          <t>United States</t>
        </is>
      </c>
      <c r="H11" s="44" t="inlineStr">
        <is>
          <t>Interactive Brokers</t>
        </is>
      </c>
      <c r="I11" s="45" t="n">
        <v>120</v>
      </c>
      <c r="J11" s="46" t="n">
        <v>48.5</v>
      </c>
      <c r="K11" s="47" t="n">
        <v>118.9</v>
      </c>
      <c r="L11" s="48">
        <f>I11*J11</f>
        <v/>
      </c>
      <c r="M11" s="49">
        <f>I11*K11</f>
        <v/>
      </c>
      <c r="N11" s="49">
        <f>M11-L11</f>
        <v/>
      </c>
      <c r="O11" s="35">
        <f>IFERROR(N11/L11, 0)</f>
        <v/>
      </c>
      <c r="P11" s="34">
        <f>IFERROR(M11/$M$6, 0)</f>
        <v/>
      </c>
      <c r="Q11" s="50" t="n">
        <v>0.07000000000000001</v>
      </c>
      <c r="R11" s="35">
        <f>P11-Q11</f>
        <v/>
      </c>
      <c r="S11" s="44" t="inlineStr">
        <is>
          <t>2023-06-20</t>
        </is>
      </c>
      <c r="T11" s="37" t="inlineStr">
        <is>
          <t>AI hardware accelerator standard</t>
        </is>
      </c>
    </row>
    <row r="12" ht="19" customHeight="1">
      <c r="A12" s="44" t="inlineStr">
        <is>
          <t>INV-005</t>
        </is>
      </c>
      <c r="B12" s="31" t="inlineStr">
        <is>
          <t>Vanguard S&amp;P 500 ETF</t>
        </is>
      </c>
      <c r="C12" s="36" t="inlineStr">
        <is>
          <t>VOO</t>
        </is>
      </c>
      <c r="D12" s="44" t="inlineStr">
        <is>
          <t>ETFs</t>
        </is>
      </c>
      <c r="E12" s="37" t="inlineStr">
        <is>
          <t>Broad Market</t>
        </is>
      </c>
      <c r="F12" s="37" t="inlineStr">
        <is>
          <t>Large Cap Blend</t>
        </is>
      </c>
      <c r="G12" s="44" t="inlineStr">
        <is>
          <t>United States</t>
        </is>
      </c>
      <c r="H12" s="44" t="inlineStr">
        <is>
          <t>Fidelity</t>
        </is>
      </c>
      <c r="I12" s="45" t="n">
        <v>110</v>
      </c>
      <c r="J12" s="46" t="n">
        <v>410</v>
      </c>
      <c r="K12" s="47" t="n">
        <v>512.4</v>
      </c>
      <c r="L12" s="48">
        <f>I12*J12</f>
        <v/>
      </c>
      <c r="M12" s="49">
        <f>I12*K12</f>
        <v/>
      </c>
      <c r="N12" s="49">
        <f>M12-L12</f>
        <v/>
      </c>
      <c r="O12" s="35">
        <f>IFERROR(N12/L12, 0)</f>
        <v/>
      </c>
      <c r="P12" s="34">
        <f>IFERROR(M12/$M$6, 0)</f>
        <v/>
      </c>
      <c r="Q12" s="50" t="n">
        <v>0.25</v>
      </c>
      <c r="R12" s="35">
        <f>P12-Q12</f>
        <v/>
      </c>
      <c r="S12" s="44" t="inlineStr">
        <is>
          <t>2022-11-05</t>
        </is>
      </c>
      <c r="T12" s="37" t="inlineStr">
        <is>
          <t>Core low-cost broad index holding</t>
        </is>
      </c>
    </row>
    <row r="13" ht="19" customHeight="1">
      <c r="A13" s="44" t="inlineStr">
        <is>
          <t>INV-006</t>
        </is>
      </c>
      <c r="B13" s="31" t="inlineStr">
        <is>
          <t>Invesco QQQ Trust</t>
        </is>
      </c>
      <c r="C13" s="36" t="inlineStr">
        <is>
          <t>QQQ</t>
        </is>
      </c>
      <c r="D13" s="44" t="inlineStr">
        <is>
          <t>ETFs</t>
        </is>
      </c>
      <c r="E13" s="37" t="inlineStr">
        <is>
          <t>Technology Blend</t>
        </is>
      </c>
      <c r="F13" s="37" t="inlineStr">
        <is>
          <t>Nasdaq-100 Large Cap</t>
        </is>
      </c>
      <c r="G13" s="44" t="inlineStr">
        <is>
          <t>United States</t>
        </is>
      </c>
      <c r="H13" s="44" t="inlineStr">
        <is>
          <t>Charles Schwab</t>
        </is>
      </c>
      <c r="I13" s="45" t="n">
        <v>50</v>
      </c>
      <c r="J13" s="46" t="n">
        <v>375</v>
      </c>
      <c r="K13" s="47" t="n">
        <v>478.1</v>
      </c>
      <c r="L13" s="48">
        <f>I13*J13</f>
        <v/>
      </c>
      <c r="M13" s="49">
        <f>I13*K13</f>
        <v/>
      </c>
      <c r="N13" s="49">
        <f>M13-L13</f>
        <v/>
      </c>
      <c r="O13" s="35">
        <f>IFERROR(N13/L13, 0)</f>
        <v/>
      </c>
      <c r="P13" s="34">
        <f>IFERROR(M13/$M$6, 0)</f>
        <v/>
      </c>
      <c r="Q13" s="50" t="n">
        <v>0.11</v>
      </c>
      <c r="R13" s="35">
        <f>P13-Q13</f>
        <v/>
      </c>
      <c r="S13" s="44" t="inlineStr">
        <is>
          <t>2023-03-18</t>
        </is>
      </c>
      <c r="T13" s="37" t="inlineStr">
        <is>
          <t>Tech &amp; growth tilt index</t>
        </is>
      </c>
    </row>
    <row r="14" ht="19" customHeight="1">
      <c r="A14" s="44" t="inlineStr">
        <is>
          <t>INV-007</t>
        </is>
      </c>
      <c r="B14" s="31" t="inlineStr">
        <is>
          <t>Vanguard Total Intl Stock</t>
        </is>
      </c>
      <c r="C14" s="36" t="inlineStr">
        <is>
          <t>VXUS</t>
        </is>
      </c>
      <c r="D14" s="44" t="inlineStr">
        <is>
          <t>ETFs</t>
        </is>
      </c>
      <c r="E14" s="37" t="inlineStr">
        <is>
          <t>International</t>
        </is>
      </c>
      <c r="F14" s="37" t="inlineStr">
        <is>
          <t>All-World ex-US</t>
        </is>
      </c>
      <c r="G14" s="44" t="inlineStr">
        <is>
          <t>Global</t>
        </is>
      </c>
      <c r="H14" s="44" t="inlineStr">
        <is>
          <t>Fidelity</t>
        </is>
      </c>
      <c r="I14" s="45" t="n">
        <v>160</v>
      </c>
      <c r="J14" s="46" t="n">
        <v>54.2</v>
      </c>
      <c r="K14" s="47" t="n">
        <v>62.8</v>
      </c>
      <c r="L14" s="48">
        <f>I14*J14</f>
        <v/>
      </c>
      <c r="M14" s="49">
        <f>I14*K14</f>
        <v/>
      </c>
      <c r="N14" s="49">
        <f>M14-L14</f>
        <v/>
      </c>
      <c r="O14" s="35">
        <f>IFERROR(N14/L14, 0)</f>
        <v/>
      </c>
      <c r="P14" s="34">
        <f>IFERROR(M14/$M$6, 0)</f>
        <v/>
      </c>
      <c r="Q14" s="50" t="n">
        <v>0.05</v>
      </c>
      <c r="R14" s="35">
        <f>P14-Q14</f>
        <v/>
      </c>
      <c r="S14" s="44" t="inlineStr">
        <is>
          <t>2023-05-14</t>
        </is>
      </c>
      <c r="T14" s="37" t="inlineStr">
        <is>
          <t>International developed &amp; emerging</t>
        </is>
      </c>
    </row>
    <row r="15" ht="19" customHeight="1">
      <c r="A15" s="44" t="inlineStr">
        <is>
          <t>INV-008</t>
        </is>
      </c>
      <c r="B15" s="31" t="inlineStr">
        <is>
          <t>Vanguard Total Bond Market</t>
        </is>
      </c>
      <c r="C15" s="36" t="inlineStr">
        <is>
          <t>BND</t>
        </is>
      </c>
      <c r="D15" s="44" t="inlineStr">
        <is>
          <t>Bonds</t>
        </is>
      </c>
      <c r="E15" s="37" t="inlineStr">
        <is>
          <t>Fixed Income</t>
        </is>
      </c>
      <c r="F15" s="37" t="inlineStr">
        <is>
          <t>Investment Grade Bonds</t>
        </is>
      </c>
      <c r="G15" s="44" t="inlineStr">
        <is>
          <t>United States</t>
        </is>
      </c>
      <c r="H15" s="44" t="inlineStr">
        <is>
          <t>Fidelity</t>
        </is>
      </c>
      <c r="I15" s="45" t="n">
        <v>180</v>
      </c>
      <c r="J15" s="46" t="n">
        <v>72.5</v>
      </c>
      <c r="K15" s="47" t="n">
        <v>73.09999999999999</v>
      </c>
      <c r="L15" s="48">
        <f>I15*J15</f>
        <v/>
      </c>
      <c r="M15" s="49">
        <f>I15*K15</f>
        <v/>
      </c>
      <c r="N15" s="49">
        <f>M15-L15</f>
        <v/>
      </c>
      <c r="O15" s="35">
        <f>IFERROR(N15/L15, 0)</f>
        <v/>
      </c>
      <c r="P15" s="34">
        <f>IFERROR(M15/$M$6, 0)</f>
        <v/>
      </c>
      <c r="Q15" s="50" t="n">
        <v>0.06</v>
      </c>
      <c r="R15" s="35">
        <f>P15-Q15</f>
        <v/>
      </c>
      <c r="S15" s="44" t="inlineStr">
        <is>
          <t>2023-07-22</t>
        </is>
      </c>
      <c r="T15" s="37" t="inlineStr">
        <is>
          <t>Capital preservation &amp; ballast</t>
        </is>
      </c>
    </row>
    <row r="16" ht="19" customHeight="1">
      <c r="A16" s="44" t="inlineStr">
        <is>
          <t>INV-009</t>
        </is>
      </c>
      <c r="B16" s="31" t="inlineStr">
        <is>
          <t>US Treasury 7-10Y Bond</t>
        </is>
      </c>
      <c r="C16" s="36" t="inlineStr">
        <is>
          <t>IEF</t>
        </is>
      </c>
      <c r="D16" s="44" t="inlineStr">
        <is>
          <t>Bonds</t>
        </is>
      </c>
      <c r="E16" s="37" t="inlineStr">
        <is>
          <t>Government</t>
        </is>
      </c>
      <c r="F16" s="37" t="inlineStr">
        <is>
          <t>Intermediate Treasuries</t>
        </is>
      </c>
      <c r="G16" s="44" t="inlineStr">
        <is>
          <t>United States</t>
        </is>
      </c>
      <c r="H16" s="44" t="inlineStr">
        <is>
          <t>Charles Schwab</t>
        </is>
      </c>
      <c r="I16" s="45" t="n">
        <v>75</v>
      </c>
      <c r="J16" s="46" t="n">
        <v>94.2</v>
      </c>
      <c r="K16" s="47" t="n">
        <v>95.8</v>
      </c>
      <c r="L16" s="48">
        <f>I16*J16</f>
        <v/>
      </c>
      <c r="M16" s="49">
        <f>I16*K16</f>
        <v/>
      </c>
      <c r="N16" s="49">
        <f>M16-L16</f>
        <v/>
      </c>
      <c r="O16" s="35">
        <f>IFERROR(N16/L16, 0)</f>
        <v/>
      </c>
      <c r="P16" s="34">
        <f>IFERROR(M16/$M$6, 0)</f>
        <v/>
      </c>
      <c r="Q16" s="50" t="n">
        <v>0.03</v>
      </c>
      <c r="R16" s="35">
        <f>P16-Q16</f>
        <v/>
      </c>
      <c r="S16" s="44" t="inlineStr">
        <is>
          <t>2023-08-01</t>
        </is>
      </c>
      <c r="T16" s="37" t="inlineStr">
        <is>
          <t>Sovereign liquidity hedge</t>
        </is>
      </c>
    </row>
    <row r="17" ht="19" customHeight="1">
      <c r="A17" s="44" t="inlineStr">
        <is>
          <t>INV-010</t>
        </is>
      </c>
      <c r="B17" s="31" t="inlineStr">
        <is>
          <t>Realty Income Corp.</t>
        </is>
      </c>
      <c r="C17" s="36" t="inlineStr">
        <is>
          <t>O</t>
        </is>
      </c>
      <c r="D17" s="44" t="inlineStr">
        <is>
          <t>REITs</t>
        </is>
      </c>
      <c r="E17" s="37" t="inlineStr">
        <is>
          <t>Real Estate</t>
        </is>
      </c>
      <c r="F17" s="37" t="inlineStr">
        <is>
          <t>Net Lease Retail</t>
        </is>
      </c>
      <c r="G17" s="44" t="inlineStr">
        <is>
          <t>United States</t>
        </is>
      </c>
      <c r="H17" s="44" t="inlineStr">
        <is>
          <t>Interactive Brokers</t>
        </is>
      </c>
      <c r="I17" s="45" t="n">
        <v>150</v>
      </c>
      <c r="J17" s="46" t="n">
        <v>52.3</v>
      </c>
      <c r="K17" s="47" t="n">
        <v>53.6</v>
      </c>
      <c r="L17" s="48">
        <f>I17*J17</f>
        <v/>
      </c>
      <c r="M17" s="49">
        <f>I17*K17</f>
        <v/>
      </c>
      <c r="N17" s="49">
        <f>M17-L17</f>
        <v/>
      </c>
      <c r="O17" s="35">
        <f>IFERROR(N17/L17, 0)</f>
        <v/>
      </c>
      <c r="P17" s="34">
        <f>IFERROR(M17/$M$6, 0)</f>
        <v/>
      </c>
      <c r="Q17" s="50" t="n">
        <v>0.04</v>
      </c>
      <c r="R17" s="35">
        <f>P17-Q17</f>
        <v/>
      </c>
      <c r="S17" s="44" t="inlineStr">
        <is>
          <t>2023-09-10</t>
        </is>
      </c>
      <c r="T17" s="37" t="inlineStr">
        <is>
          <t>Monthly dividend company</t>
        </is>
      </c>
    </row>
    <row r="18" ht="19" customHeight="1">
      <c r="A18" s="44" t="inlineStr">
        <is>
          <t>INV-011</t>
        </is>
      </c>
      <c r="B18" s="31" t="inlineStr">
        <is>
          <t>Prologis Inc.</t>
        </is>
      </c>
      <c r="C18" s="36" t="inlineStr">
        <is>
          <t>PLD</t>
        </is>
      </c>
      <c r="D18" s="44" t="inlineStr">
        <is>
          <t>REITs</t>
        </is>
      </c>
      <c r="E18" s="37" t="inlineStr">
        <is>
          <t>Real Estate</t>
        </is>
      </c>
      <c r="F18" s="37" t="inlineStr">
        <is>
          <t>Industrial Logistics</t>
        </is>
      </c>
      <c r="G18" s="44" t="inlineStr">
        <is>
          <t>United States</t>
        </is>
      </c>
      <c r="H18" s="44" t="inlineStr">
        <is>
          <t>Charles Schwab</t>
        </is>
      </c>
      <c r="I18" s="45" t="n">
        <v>40</v>
      </c>
      <c r="J18" s="46" t="n">
        <v>118</v>
      </c>
      <c r="K18" s="47" t="n">
        <v>122.4</v>
      </c>
      <c r="L18" s="48">
        <f>I18*J18</f>
        <v/>
      </c>
      <c r="M18" s="49">
        <f>I18*K18</f>
        <v/>
      </c>
      <c r="N18" s="49">
        <f>M18-L18</f>
        <v/>
      </c>
      <c r="O18" s="35">
        <f>IFERROR(N18/L18, 0)</f>
        <v/>
      </c>
      <c r="P18" s="34">
        <f>IFERROR(M18/$M$6, 0)</f>
        <v/>
      </c>
      <c r="Q18" s="50" t="n">
        <v>0.02</v>
      </c>
      <c r="R18" s="35">
        <f>P18-Q18</f>
        <v/>
      </c>
      <c r="S18" s="44" t="inlineStr">
        <is>
          <t>2023-10-15</t>
        </is>
      </c>
      <c r="T18" s="37" t="inlineStr">
        <is>
          <t>Global logistics &amp; warehousing</t>
        </is>
      </c>
    </row>
    <row r="19" ht="19" customHeight="1">
      <c r="A19" s="44" t="inlineStr">
        <is>
          <t>INV-012</t>
        </is>
      </c>
      <c r="B19" s="31" t="inlineStr">
        <is>
          <t>SPDR Gold Shares</t>
        </is>
      </c>
      <c r="C19" s="36" t="inlineStr">
        <is>
          <t>GLD</t>
        </is>
      </c>
      <c r="D19" s="44" t="inlineStr">
        <is>
          <t>Gold</t>
        </is>
      </c>
      <c r="E19" s="37" t="inlineStr">
        <is>
          <t>Commodities</t>
        </is>
      </c>
      <c r="F19" s="37" t="inlineStr">
        <is>
          <t>Precious Metals</t>
        </is>
      </c>
      <c r="G19" s="44" t="inlineStr">
        <is>
          <t>Global</t>
        </is>
      </c>
      <c r="H19" s="44" t="inlineStr">
        <is>
          <t>Fidelity</t>
        </is>
      </c>
      <c r="I19" s="45" t="n">
        <v>40</v>
      </c>
      <c r="J19" s="46" t="n">
        <v>185</v>
      </c>
      <c r="K19" s="47" t="n">
        <v>231.5</v>
      </c>
      <c r="L19" s="48">
        <f>I19*J19</f>
        <v/>
      </c>
      <c r="M19" s="49">
        <f>I19*K19</f>
        <v/>
      </c>
      <c r="N19" s="49">
        <f>M19-L19</f>
        <v/>
      </c>
      <c r="O19" s="35">
        <f>IFERROR(N19/L19, 0)</f>
        <v/>
      </c>
      <c r="P19" s="34">
        <f>IFERROR(M19/$M$6, 0)</f>
        <v/>
      </c>
      <c r="Q19" s="50" t="n">
        <v>0.04</v>
      </c>
      <c r="R19" s="35">
        <f>P19-Q19</f>
        <v/>
      </c>
      <c r="S19" s="44" t="inlineStr">
        <is>
          <t>2023-01-20</t>
        </is>
      </c>
      <c r="T19" s="37" t="inlineStr">
        <is>
          <t>Inflation &amp; currency devaluation hedge</t>
        </is>
      </c>
    </row>
    <row r="20" ht="19" customHeight="1">
      <c r="A20" s="44" t="inlineStr">
        <is>
          <t>INV-013</t>
        </is>
      </c>
      <c r="B20" s="31" t="inlineStr">
        <is>
          <t>Eli Lilly and Co.</t>
        </is>
      </c>
      <c r="C20" s="36" t="inlineStr">
        <is>
          <t>LLY</t>
        </is>
      </c>
      <c r="D20" s="44" t="inlineStr">
        <is>
          <t>Stocks</t>
        </is>
      </c>
      <c r="E20" s="37" t="inlineStr">
        <is>
          <t>Healthcare</t>
        </is>
      </c>
      <c r="F20" s="37" t="inlineStr">
        <is>
          <t>Pharmaceuticals</t>
        </is>
      </c>
      <c r="G20" s="44" t="inlineStr">
        <is>
          <t>United States</t>
        </is>
      </c>
      <c r="H20" s="44" t="inlineStr">
        <is>
          <t>Fidelity</t>
        </is>
      </c>
      <c r="I20" s="45" t="n">
        <v>15</v>
      </c>
      <c r="J20" s="46" t="n">
        <v>610</v>
      </c>
      <c r="K20" s="47" t="n">
        <v>895</v>
      </c>
      <c r="L20" s="48">
        <f>I20*J20</f>
        <v/>
      </c>
      <c r="M20" s="49">
        <f>I20*K20</f>
        <v/>
      </c>
      <c r="N20" s="49">
        <f>M20-L20</f>
        <v/>
      </c>
      <c r="O20" s="35">
        <f>IFERROR(N20/L20, 0)</f>
        <v/>
      </c>
      <c r="P20" s="34">
        <f>IFERROR(M20/$M$6, 0)</f>
        <v/>
      </c>
      <c r="Q20" s="50" t="n">
        <v>0.04</v>
      </c>
      <c r="R20" s="35">
        <f>P20-Q20</f>
        <v/>
      </c>
      <c r="S20" s="44" t="inlineStr">
        <is>
          <t>2023-11-28</t>
        </is>
      </c>
      <c r="T20" s="37" t="inlineStr">
        <is>
          <t>Incretin / GLP-1 healthcare leader</t>
        </is>
      </c>
    </row>
    <row r="21" ht="19" customHeight="1">
      <c r="A21" s="44" t="inlineStr">
        <is>
          <t>INV-014</t>
        </is>
      </c>
      <c r="B21" s="31" t="inlineStr">
        <is>
          <t>JPMorgan Chase &amp; Co.</t>
        </is>
      </c>
      <c r="C21" s="36" t="inlineStr">
        <is>
          <t>JPM</t>
        </is>
      </c>
      <c r="D21" s="44" t="inlineStr">
        <is>
          <t>Stocks</t>
        </is>
      </c>
      <c r="E21" s="37" t="inlineStr">
        <is>
          <t>Financials</t>
        </is>
      </c>
      <c r="F21" s="37" t="inlineStr">
        <is>
          <t>Diversified Banking</t>
        </is>
      </c>
      <c r="G21" s="44" t="inlineStr">
        <is>
          <t>United States</t>
        </is>
      </c>
      <c r="H21" s="44" t="inlineStr">
        <is>
          <t>Charles Schwab</t>
        </is>
      </c>
      <c r="I21" s="45" t="n">
        <v>35</v>
      </c>
      <c r="J21" s="46" t="n">
        <v>155</v>
      </c>
      <c r="K21" s="47" t="n">
        <v>214.5</v>
      </c>
      <c r="L21" s="48">
        <f>I21*J21</f>
        <v/>
      </c>
      <c r="M21" s="49">
        <f>I21*K21</f>
        <v/>
      </c>
      <c r="N21" s="49">
        <f>M21-L21</f>
        <v/>
      </c>
      <c r="O21" s="35">
        <f>IFERROR(N21/L21, 0)</f>
        <v/>
      </c>
      <c r="P21" s="34">
        <f>IFERROR(M21/$M$6, 0)</f>
        <v/>
      </c>
      <c r="Q21" s="50" t="n">
        <v>0.03</v>
      </c>
      <c r="R21" s="35">
        <f>P21-Q21</f>
        <v/>
      </c>
      <c r="S21" s="44" t="inlineStr">
        <is>
          <t>2023-08-15</t>
        </is>
      </c>
      <c r="T21" s="37" t="inlineStr">
        <is>
          <t>Tier-1 global financial fortress</t>
        </is>
      </c>
    </row>
    <row r="22" ht="19" customHeight="1">
      <c r="A22" s="44" t="inlineStr">
        <is>
          <t>INV-015</t>
        </is>
      </c>
      <c r="B22" s="31" t="inlineStr">
        <is>
          <t>High Yield Treasury Cash</t>
        </is>
      </c>
      <c r="C22" s="36" t="inlineStr">
        <is>
          <t>CASH</t>
        </is>
      </c>
      <c r="D22" s="44" t="inlineStr">
        <is>
          <t>Cash</t>
        </is>
      </c>
      <c r="E22" s="37" t="inlineStr">
        <is>
          <t>Cash &amp; Cash Eq</t>
        </is>
      </c>
      <c r="F22" s="37" t="inlineStr">
        <is>
          <t>Liquid Reserves</t>
        </is>
      </c>
      <c r="G22" s="44" t="inlineStr">
        <is>
          <t>United States</t>
        </is>
      </c>
      <c r="H22" s="44" t="inlineStr">
        <is>
          <t>Fidelity</t>
        </is>
      </c>
      <c r="I22" s="45" t="n">
        <v>1</v>
      </c>
      <c r="J22" s="46" t="n">
        <v>10000</v>
      </c>
      <c r="K22" s="47" t="n">
        <v>10000</v>
      </c>
      <c r="L22" s="48">
        <f>I22*J22</f>
        <v/>
      </c>
      <c r="M22" s="49">
        <f>I22*K22</f>
        <v/>
      </c>
      <c r="N22" s="49">
        <f>M22-L22</f>
        <v/>
      </c>
      <c r="O22" s="35">
        <f>IFERROR(N22/L22, 0)</f>
        <v/>
      </c>
      <c r="P22" s="34">
        <f>IFERROR(M22/$M$6, 0)</f>
        <v/>
      </c>
      <c r="Q22" s="50" t="n">
        <v>0.01</v>
      </c>
      <c r="R22" s="35">
        <f>P22-Q22</f>
        <v/>
      </c>
      <c r="S22" s="44" t="inlineStr">
        <is>
          <t>2023-01-01</t>
        </is>
      </c>
      <c r="T22" s="37" t="inlineStr">
        <is>
          <t>Dry powder emergency liquidity</t>
        </is>
      </c>
    </row>
  </sheetData>
  <mergeCells count="4">
    <mergeCell ref="Q6:T6"/>
    <mergeCell ref="A6:K6"/>
    <mergeCell ref="A4:T4"/>
    <mergeCell ref="A3:T3"/>
  </mergeCells>
  <dataValidations count="2">
    <dataValidation sqref="D8:D35" showDropDown="0" showInputMessage="0" showErrorMessage="0" allowBlank="1" type="list">
      <formula1>"Stocks,ETFs,Mutual Funds,Bonds,REITs,Gold,Cash,Other"</formula1>
    </dataValidation>
    <dataValidation sqref="H8:H35" showDropDown="0" showInputMessage="0" showErrorMessage="0" allowBlank="1" type="list">
      <formula1>"Fidelity,Charles Schwab,Interactive Brokers,Vanguard,Zerodha,Robinhood,Local Broker"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0" customWidth="1" min="4" max="4"/>
    <col width="16" customWidth="1" min="5" max="5"/>
    <col width="12" customWidth="1" min="6" max="6"/>
    <col width="14" customWidth="1" min="7" max="7"/>
    <col width="11" customWidth="1" min="8" max="8"/>
    <col width="11" customWidth="1" min="9" max="9"/>
    <col width="14" customWidth="1" min="10" max="10"/>
    <col width="15" customWidth="1" min="11" max="11"/>
    <col width="16" customWidth="1" min="12" max="12"/>
    <col width="26" customWidth="1" min="13" max="13"/>
  </cols>
  <sheetData>
    <row r="1" ht="26" customHeight="1">
      <c r="A1" s="2">
        <f>HYPERLINK("#01_Start_Here!A1", "🏠 Start")</f>
        <v/>
      </c>
      <c r="B1" s="2">
        <f>HYPERLINK("#02_Dashboard!A1", "📊 Dashboard")</f>
        <v/>
      </c>
      <c r="C1" s="2">
        <f>HYPERLINK("#03_Holdings!A1", "💼 Holdings")</f>
        <v/>
      </c>
      <c r="D1" s="1">
        <f>HYPERLINK("#04_Transactions!A1", "📑 Ledger")</f>
        <v/>
      </c>
      <c r="E1" s="2">
        <f>HYPERLINK("#05_Performance!A1", "📈 Performance")</f>
        <v/>
      </c>
      <c r="F1" s="2">
        <f>HYPERLINK("#06_Allocation_Risk!A1", "🎯 Allocation")</f>
        <v/>
      </c>
      <c r="G1" s="2">
        <f>HYPERLINK("#07_Dividends_Income!A1", "💰 Dividends")</f>
        <v/>
      </c>
      <c r="H1" s="2">
        <f>HYPERLINK("#08_Goals_SIP!A1", "🎯 Goals")</f>
        <v/>
      </c>
      <c r="I1" s="2">
        <f>HYPERLINK("#09_Rebalancing_Drift!A1", "⚖️ Rebalance")</f>
        <v/>
      </c>
      <c r="J1" s="2">
        <f>HYPERLINK("#10_Scenarios_Freedom!A1", "🚀 What-If")</f>
        <v/>
      </c>
      <c r="K1" s="2">
        <f>HYPERLINK("#11_Reviews_Reports!A1", "📋 Reports")</f>
        <v/>
      </c>
      <c r="L1" s="2">
        <f>HYPERLINK("#12_Investment_Journal!A1", "📓 Journal")</f>
        <v/>
      </c>
      <c r="M1" s="2">
        <f>HYPERLINK("#13_Settings_Assumptions!A1", "⚙️ Settings")</f>
        <v/>
      </c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32" customHeight="1">
      <c r="A3" s="4" t="inlineStr">
        <is>
          <t xml:space="preserve">  INVESTMENT TRANSACTION LEDGER</t>
        </is>
      </c>
    </row>
    <row r="4" ht="18" customHeight="1">
      <c r="A4" s="5" t="inlineStr">
        <is>
          <t xml:space="preserve">  Chronological Record of Buys, Sells, Dividends, Splits, Fees &amp; Cash Flows</t>
        </is>
      </c>
    </row>
    <row r="5" ht="8" customHeight="1"/>
    <row r="6" ht="22" customHeight="1">
      <c r="A6" s="51" t="inlineStr">
        <is>
          <t>TRANSACTION LEDGER TOTALS</t>
        </is>
      </c>
      <c r="E6" s="52" t="inlineStr">
        <is>
          <t>Total Fees:</t>
        </is>
      </c>
      <c r="F6" s="53">
        <f>SUM(H8:H30)</f>
        <v/>
      </c>
      <c r="G6" s="52" t="inlineStr">
        <is>
          <t>Total Taxes:</t>
        </is>
      </c>
      <c r="H6" s="53">
        <f>SUM(I8:I30)</f>
        <v/>
      </c>
      <c r="I6" s="52" t="inlineStr">
        <is>
          <t>Total Trx Value:</t>
        </is>
      </c>
      <c r="J6" s="53">
        <f>SUM(J8:J30)</f>
        <v/>
      </c>
      <c r="K6" s="52" t="inlineStr">
        <is>
          <t>Booked Realized P/L:</t>
        </is>
      </c>
      <c r="L6" s="54">
        <f>SUM(L8:L30)</f>
        <v/>
      </c>
    </row>
    <row r="7" ht="24" customHeight="1">
      <c r="A7" s="30" t="inlineStr">
        <is>
          <t>Tx ID</t>
        </is>
      </c>
      <c r="B7" s="30" t="inlineStr">
        <is>
          <t>Date</t>
        </is>
      </c>
      <c r="C7" s="30" t="inlineStr">
        <is>
          <t>Investment / Holding</t>
        </is>
      </c>
      <c r="D7" s="30" t="inlineStr">
        <is>
          <t>Ticker</t>
        </is>
      </c>
      <c r="E7" s="30" t="inlineStr">
        <is>
          <t>Transaction Type</t>
        </is>
      </c>
      <c r="F7" s="30" t="inlineStr">
        <is>
          <t>Quantity</t>
        </is>
      </c>
      <c r="G7" s="30" t="inlineStr">
        <is>
          <t>Price / Unit</t>
        </is>
      </c>
      <c r="H7" s="30" t="inlineStr">
        <is>
          <t>Fees ($)</t>
        </is>
      </c>
      <c r="I7" s="30" t="inlineStr">
        <is>
          <t>Taxes ($)</t>
        </is>
      </c>
      <c r="J7" s="30" t="inlineStr">
        <is>
          <t>Gross Value</t>
        </is>
      </c>
      <c r="K7" s="30" t="inlineStr">
        <is>
          <t>Cash Flow (+/-)</t>
        </is>
      </c>
      <c r="L7" s="30" t="inlineStr">
        <is>
          <t>Realized Gain/Loss</t>
        </is>
      </c>
      <c r="M7" s="30" t="inlineStr">
        <is>
          <t>Trade Notes &amp; Thesis</t>
        </is>
      </c>
    </row>
    <row r="8" ht="19" customHeight="1">
      <c r="A8" s="44" t="inlineStr">
        <is>
          <t>TX-1001</t>
        </is>
      </c>
      <c r="B8" s="44" t="inlineStr">
        <is>
          <t>2023-01-15</t>
        </is>
      </c>
      <c r="C8" s="31" t="inlineStr">
        <is>
          <t>Apple Inc.</t>
        </is>
      </c>
      <c r="D8" s="36" t="inlineStr">
        <is>
          <t>AAPL</t>
        </is>
      </c>
      <c r="E8" s="55" t="inlineStr">
        <is>
          <t>Buy</t>
        </is>
      </c>
      <c r="F8" s="45" t="n">
        <v>50</v>
      </c>
      <c r="G8" s="46" t="n">
        <v>170</v>
      </c>
      <c r="H8" s="46" t="n">
        <v>2.5</v>
      </c>
      <c r="I8" s="46" t="n">
        <v>0.5</v>
      </c>
      <c r="J8" s="48">
        <f>F8*G8</f>
        <v/>
      </c>
      <c r="K8" s="49">
        <f>IF(OR(E8="Buy",E8="Fee",E8="Withdrawal"), -(J8+H8+I8), IF(OR(E8="Sell",E8="Dividend"), J8-H8-I8, J8))</f>
        <v/>
      </c>
      <c r="L8" s="49">
        <f>IF(E8="Sell", (F8*G8)-H8-I8-(F8*165.00), 0)</f>
        <v/>
      </c>
      <c r="M8" s="37" t="inlineStr">
        <is>
          <t>Initial tech core position</t>
        </is>
      </c>
    </row>
    <row r="9" ht="19" customHeight="1">
      <c r="A9" s="44" t="inlineStr">
        <is>
          <t>TX-1002</t>
        </is>
      </c>
      <c r="B9" s="44" t="inlineStr">
        <is>
          <t>2023-02-10</t>
        </is>
      </c>
      <c r="C9" s="31" t="inlineStr">
        <is>
          <t>Microsoft Corp.</t>
        </is>
      </c>
      <c r="D9" s="36" t="inlineStr">
        <is>
          <t>MSFT</t>
        </is>
      </c>
      <c r="E9" s="55" t="inlineStr">
        <is>
          <t>Buy</t>
        </is>
      </c>
      <c r="F9" s="45" t="n">
        <v>30</v>
      </c>
      <c r="G9" s="46" t="n">
        <v>335</v>
      </c>
      <c r="H9" s="46" t="n">
        <v>2.5</v>
      </c>
      <c r="I9" s="46" t="n">
        <v>0.5</v>
      </c>
      <c r="J9" s="48">
        <f>F9*G9</f>
        <v/>
      </c>
      <c r="K9" s="49">
        <f>IF(OR(E9="Buy",E9="Fee",E9="Withdrawal"), -(J9+H9+I9), IF(OR(E9="Sell",E9="Dividend"), J9-H9-I9, J9))</f>
        <v/>
      </c>
      <c r="L9" s="49">
        <f>IF(E9="Sell", (F9*G9)-H9-I9-(F9*165.00), 0)</f>
        <v/>
      </c>
      <c r="M9" s="37" t="inlineStr">
        <is>
          <t>Cloud expansion thesis</t>
        </is>
      </c>
    </row>
    <row r="10" ht="19" customHeight="1">
      <c r="A10" s="44" t="inlineStr">
        <is>
          <t>TX-1003</t>
        </is>
      </c>
      <c r="B10" s="44" t="inlineStr">
        <is>
          <t>2023-03-15</t>
        </is>
      </c>
      <c r="C10" s="31" t="inlineStr">
        <is>
          <t>Apple Inc.</t>
        </is>
      </c>
      <c r="D10" s="36" t="inlineStr">
        <is>
          <t>AAPL</t>
        </is>
      </c>
      <c r="E10" s="55" t="inlineStr">
        <is>
          <t>Dividend</t>
        </is>
      </c>
      <c r="F10" s="45" t="n">
        <v>50</v>
      </c>
      <c r="G10" s="46" t="n">
        <v>0.24</v>
      </c>
      <c r="H10" s="46" t="n">
        <v>0</v>
      </c>
      <c r="I10" s="46" t="n">
        <v>1.8</v>
      </c>
      <c r="J10" s="48">
        <f>F10*G10</f>
        <v/>
      </c>
      <c r="K10" s="49">
        <f>IF(OR(E10="Buy",E10="Fee",E10="Withdrawal"), -(J10+H10+I10), IF(OR(E10="Sell",E10="Dividend"), J10-H10-I10, J10))</f>
        <v/>
      </c>
      <c r="L10" s="49">
        <f>IF(E10="Sell", (F10*G10)-H10-I10-(F10*165.00), 0)</f>
        <v/>
      </c>
      <c r="M10" s="37" t="inlineStr">
        <is>
          <t>Quarterly cash dividend</t>
        </is>
      </c>
    </row>
    <row r="11" ht="19" customHeight="1">
      <c r="A11" s="44" t="inlineStr">
        <is>
          <t>TX-1004</t>
        </is>
      </c>
      <c r="B11" s="44" t="inlineStr">
        <is>
          <t>2023-04-12</t>
        </is>
      </c>
      <c r="C11" s="31" t="inlineStr">
        <is>
          <t>Alphabet Inc.</t>
        </is>
      </c>
      <c r="D11" s="36" t="inlineStr">
        <is>
          <t>GOOGL</t>
        </is>
      </c>
      <c r="E11" s="55" t="inlineStr">
        <is>
          <t>Buy</t>
        </is>
      </c>
      <c r="F11" s="45" t="n">
        <v>70</v>
      </c>
      <c r="G11" s="46" t="n">
        <v>132.8</v>
      </c>
      <c r="H11" s="46" t="n">
        <v>2.5</v>
      </c>
      <c r="I11" s="46" t="n">
        <v>0.5</v>
      </c>
      <c r="J11" s="48">
        <f>F11*G11</f>
        <v/>
      </c>
      <c r="K11" s="49">
        <f>IF(OR(E11="Buy",E11="Fee",E11="Withdrawal"), -(J11+H11+I11), IF(OR(E11="Sell",E11="Dividend"), J11-H11-I11, J11))</f>
        <v/>
      </c>
      <c r="L11" s="49">
        <f>IF(E11="Sell", (F11*G11)-H11-I11-(F11*165.00), 0)</f>
        <v/>
      </c>
      <c r="M11" s="37" t="inlineStr">
        <is>
          <t>Valuation discount buy</t>
        </is>
      </c>
    </row>
    <row r="12" ht="19" customHeight="1">
      <c r="A12" s="44" t="inlineStr">
        <is>
          <t>TX-1005</t>
        </is>
      </c>
      <c r="B12" s="44" t="inlineStr">
        <is>
          <t>2023-05-10</t>
        </is>
      </c>
      <c r="C12" s="31" t="inlineStr">
        <is>
          <t>Vanguard S&amp;P 500 ETF</t>
        </is>
      </c>
      <c r="D12" s="36" t="inlineStr">
        <is>
          <t>VOO</t>
        </is>
      </c>
      <c r="E12" s="55" t="inlineStr">
        <is>
          <t>Buy</t>
        </is>
      </c>
      <c r="F12" s="45" t="n">
        <v>60</v>
      </c>
      <c r="G12" s="46" t="n">
        <v>405</v>
      </c>
      <c r="H12" s="46" t="n">
        <v>0</v>
      </c>
      <c r="I12" s="46" t="n">
        <v>0</v>
      </c>
      <c r="J12" s="48">
        <f>F12*G12</f>
        <v/>
      </c>
      <c r="K12" s="49">
        <f>IF(OR(E12="Buy",E12="Fee",E12="Withdrawal"), -(J12+H12+I12), IF(OR(E12="Sell",E12="Dividend"), J12-H12-I12, J12))</f>
        <v/>
      </c>
      <c r="L12" s="49">
        <f>IF(E12="Sell", (F12*G12)-H12-I12-(F12*165.00), 0)</f>
        <v/>
      </c>
      <c r="M12" s="37" t="inlineStr">
        <is>
          <t>Core index dollar cost averaging</t>
        </is>
      </c>
    </row>
    <row r="13" ht="19" customHeight="1">
      <c r="A13" s="44" t="inlineStr">
        <is>
          <t>TX-1006</t>
        </is>
      </c>
      <c r="B13" s="44" t="inlineStr">
        <is>
          <t>2023-06-20</t>
        </is>
      </c>
      <c r="C13" s="31" t="inlineStr">
        <is>
          <t>NVIDIA Corporation</t>
        </is>
      </c>
      <c r="D13" s="36" t="inlineStr">
        <is>
          <t>NVDA</t>
        </is>
      </c>
      <c r="E13" s="55" t="inlineStr">
        <is>
          <t>Buy</t>
        </is>
      </c>
      <c r="F13" s="45" t="n">
        <v>100</v>
      </c>
      <c r="G13" s="46" t="n">
        <v>42</v>
      </c>
      <c r="H13" s="46" t="n">
        <v>2.5</v>
      </c>
      <c r="I13" s="46" t="n">
        <v>0.5</v>
      </c>
      <c r="J13" s="48">
        <f>F13*G13</f>
        <v/>
      </c>
      <c r="K13" s="49">
        <f>IF(OR(E13="Buy",E13="Fee",E13="Withdrawal"), -(J13+H13+I13), IF(OR(E13="Sell",E13="Dividend"), J13-H13-I13, J13))</f>
        <v/>
      </c>
      <c r="L13" s="49">
        <f>IF(E13="Sell", (F13*G13)-H13-I13-(F13*165.00), 0)</f>
        <v/>
      </c>
      <c r="M13" s="37" t="inlineStr">
        <is>
          <t>AI datacenter momentum</t>
        </is>
      </c>
    </row>
    <row r="14" ht="19" customHeight="1">
      <c r="A14" s="44" t="inlineStr">
        <is>
          <t>TX-1007</t>
        </is>
      </c>
      <c r="B14" s="44" t="inlineStr">
        <is>
          <t>2023-07-22</t>
        </is>
      </c>
      <c r="C14" s="31" t="inlineStr">
        <is>
          <t>Vanguard Total Bond Market</t>
        </is>
      </c>
      <c r="D14" s="36" t="inlineStr">
        <is>
          <t>BND</t>
        </is>
      </c>
      <c r="E14" s="55" t="inlineStr">
        <is>
          <t>Buy</t>
        </is>
      </c>
      <c r="F14" s="45" t="n">
        <v>180</v>
      </c>
      <c r="G14" s="46" t="n">
        <v>72.5</v>
      </c>
      <c r="H14" s="46" t="n">
        <v>0</v>
      </c>
      <c r="I14" s="46" t="n">
        <v>0</v>
      </c>
      <c r="J14" s="48">
        <f>F14*G14</f>
        <v/>
      </c>
      <c r="K14" s="49">
        <f>IF(OR(E14="Buy",E14="Fee",E14="Withdrawal"), -(J14+H14+I14), IF(OR(E14="Sell",E14="Dividend"), J14-H14-I14, J14))</f>
        <v/>
      </c>
      <c r="L14" s="49">
        <f>IF(E14="Sell", (F14*G14)-H14-I14-(F14*165.00), 0)</f>
        <v/>
      </c>
      <c r="M14" s="37" t="inlineStr">
        <is>
          <t>Fixed income allocation</t>
        </is>
      </c>
    </row>
    <row r="15" ht="19" customHeight="1">
      <c r="A15" s="44" t="inlineStr">
        <is>
          <t>TX-1008</t>
        </is>
      </c>
      <c r="B15" s="44" t="inlineStr">
        <is>
          <t>2023-08-15</t>
        </is>
      </c>
      <c r="C15" s="31" t="inlineStr">
        <is>
          <t>JPMorgan Chase &amp; Co.</t>
        </is>
      </c>
      <c r="D15" s="36" t="inlineStr">
        <is>
          <t>JPM</t>
        </is>
      </c>
      <c r="E15" s="55" t="inlineStr">
        <is>
          <t>Buy</t>
        </is>
      </c>
      <c r="F15" s="45" t="n">
        <v>35</v>
      </c>
      <c r="G15" s="46" t="n">
        <v>155</v>
      </c>
      <c r="H15" s="46" t="n">
        <v>2.5</v>
      </c>
      <c r="I15" s="46" t="n">
        <v>0.5</v>
      </c>
      <c r="J15" s="48">
        <f>F15*G15</f>
        <v/>
      </c>
      <c r="K15" s="49">
        <f>IF(OR(E15="Buy",E15="Fee",E15="Withdrawal"), -(J15+H15+I15), IF(OR(E15="Sell",E15="Dividend"), J15-H15-I15, J15))</f>
        <v/>
      </c>
      <c r="L15" s="49">
        <f>IF(E15="Sell", (F15*G15)-H15-I15-(F15*165.00), 0)</f>
        <v/>
      </c>
      <c r="M15" s="37" t="inlineStr">
        <is>
          <t>Financials diversification</t>
        </is>
      </c>
    </row>
    <row r="16" ht="19" customHeight="1">
      <c r="A16" s="44" t="inlineStr">
        <is>
          <t>TX-1009</t>
        </is>
      </c>
      <c r="B16" s="44" t="inlineStr">
        <is>
          <t>2023-09-10</t>
        </is>
      </c>
      <c r="C16" s="31" t="inlineStr">
        <is>
          <t>Realty Income Corp.</t>
        </is>
      </c>
      <c r="D16" s="36" t="inlineStr">
        <is>
          <t>O</t>
        </is>
      </c>
      <c r="E16" s="55" t="inlineStr">
        <is>
          <t>Buy</t>
        </is>
      </c>
      <c r="F16" s="45" t="n">
        <v>150</v>
      </c>
      <c r="G16" s="46" t="n">
        <v>52.3</v>
      </c>
      <c r="H16" s="46" t="n">
        <v>2.5</v>
      </c>
      <c r="I16" s="46" t="n">
        <v>0.5</v>
      </c>
      <c r="J16" s="48">
        <f>F16*G16</f>
        <v/>
      </c>
      <c r="K16" s="49">
        <f>IF(OR(E16="Buy",E16="Fee",E16="Withdrawal"), -(J16+H16+I16), IF(OR(E16="Sell",E16="Dividend"), J16-H16-I16, J16))</f>
        <v/>
      </c>
      <c r="L16" s="49">
        <f>IF(E16="Sell", (F16*G16)-H16-I16-(F16*165.00), 0)</f>
        <v/>
      </c>
      <c r="M16" s="37" t="inlineStr">
        <is>
          <t>Monthly income generator</t>
        </is>
      </c>
    </row>
    <row r="17" ht="19" customHeight="1">
      <c r="A17" s="44" t="inlineStr">
        <is>
          <t>TX-1010</t>
        </is>
      </c>
      <c r="B17" s="44" t="inlineStr">
        <is>
          <t>2023-10-15</t>
        </is>
      </c>
      <c r="C17" s="31" t="inlineStr">
        <is>
          <t>Apple Inc.</t>
        </is>
      </c>
      <c r="D17" s="36" t="inlineStr">
        <is>
          <t>AAPL</t>
        </is>
      </c>
      <c r="E17" s="55" t="inlineStr">
        <is>
          <t>Buy</t>
        </is>
      </c>
      <c r="F17" s="45" t="n">
        <v>35</v>
      </c>
      <c r="G17" s="46" t="n">
        <v>183.35</v>
      </c>
      <c r="H17" s="46" t="n">
        <v>2.5</v>
      </c>
      <c r="I17" s="46" t="n">
        <v>0.5</v>
      </c>
      <c r="J17" s="48">
        <f>F17*G17</f>
        <v/>
      </c>
      <c r="K17" s="49">
        <f>IF(OR(E17="Buy",E17="Fee",E17="Withdrawal"), -(J17+H17+I17), IF(OR(E17="Sell",E17="Dividend"), J17-H17-I17, J17))</f>
        <v/>
      </c>
      <c r="L17" s="49">
        <f>IF(E17="Sell", (F17*G17)-H17-I17-(F17*165.00), 0)</f>
        <v/>
      </c>
      <c r="M17" s="37" t="inlineStr">
        <is>
          <t>Dip purchase on earnings</t>
        </is>
      </c>
    </row>
    <row r="18" ht="19" customHeight="1">
      <c r="A18" s="44" t="inlineStr">
        <is>
          <t>TX-1011</t>
        </is>
      </c>
      <c r="B18" s="44" t="inlineStr">
        <is>
          <t>2023-11-28</t>
        </is>
      </c>
      <c r="C18" s="31" t="inlineStr">
        <is>
          <t>Eli Lilly and Co.</t>
        </is>
      </c>
      <c r="D18" s="36" t="inlineStr">
        <is>
          <t>LLY</t>
        </is>
      </c>
      <c r="E18" s="55" t="inlineStr">
        <is>
          <t>Buy</t>
        </is>
      </c>
      <c r="F18" s="45" t="n">
        <v>15</v>
      </c>
      <c r="G18" s="46" t="n">
        <v>610</v>
      </c>
      <c r="H18" s="46" t="n">
        <v>2.5</v>
      </c>
      <c r="I18" s="46" t="n">
        <v>0.5</v>
      </c>
      <c r="J18" s="48">
        <f>F18*G18</f>
        <v/>
      </c>
      <c r="K18" s="49">
        <f>IF(OR(E18="Buy",E18="Fee",E18="Withdrawal"), -(J18+H18+I18), IF(OR(E18="Sell",E18="Dividend"), J18-H18-I18, J18))</f>
        <v/>
      </c>
      <c r="L18" s="49">
        <f>IF(E18="Sell", (F18*G18)-H18-I18-(F18*165.00), 0)</f>
        <v/>
      </c>
      <c r="M18" s="37" t="inlineStr">
        <is>
          <t>Healthcare innovation</t>
        </is>
      </c>
    </row>
    <row r="19" ht="19" customHeight="1">
      <c r="A19" s="44" t="inlineStr">
        <is>
          <t>TX-1012</t>
        </is>
      </c>
      <c r="B19" s="44" t="inlineStr">
        <is>
          <t>2024-02-14</t>
        </is>
      </c>
      <c r="C19" s="31" t="inlineStr">
        <is>
          <t>Vanguard S&amp;P 500 ETF</t>
        </is>
      </c>
      <c r="D19" s="36" t="inlineStr">
        <is>
          <t>VOO</t>
        </is>
      </c>
      <c r="E19" s="55" t="inlineStr">
        <is>
          <t>Buy</t>
        </is>
      </c>
      <c r="F19" s="45" t="n">
        <v>50</v>
      </c>
      <c r="G19" s="46" t="n">
        <v>416</v>
      </c>
      <c r="H19" s="46" t="n">
        <v>0</v>
      </c>
      <c r="I19" s="46" t="n">
        <v>0</v>
      </c>
      <c r="J19" s="48">
        <f>F19*G19</f>
        <v/>
      </c>
      <c r="K19" s="49">
        <f>IF(OR(E19="Buy",E19="Fee",E19="Withdrawal"), -(J19+H19+I19), IF(OR(E19="Sell",E19="Dividend"), J19-H19-I19, J19))</f>
        <v/>
      </c>
      <c r="L19" s="49">
        <f>IF(E19="Sell", (F19*G19)-H19-I19-(F19*165.00), 0)</f>
        <v/>
      </c>
      <c r="M19" s="37" t="inlineStr">
        <is>
          <t>Scheduled annual bonus reinvestment</t>
        </is>
      </c>
    </row>
    <row r="20" ht="19" customHeight="1">
      <c r="A20" s="44" t="inlineStr">
        <is>
          <t>TX-1013</t>
        </is>
      </c>
      <c r="B20" s="44" t="inlineStr">
        <is>
          <t>2024-03-20</t>
        </is>
      </c>
      <c r="C20" s="31" t="inlineStr">
        <is>
          <t>NVIDIA Corporation</t>
        </is>
      </c>
      <c r="D20" s="36" t="inlineStr">
        <is>
          <t>NVDA</t>
        </is>
      </c>
      <c r="E20" s="55" t="inlineStr">
        <is>
          <t>Buy</t>
        </is>
      </c>
      <c r="F20" s="45" t="n">
        <v>20</v>
      </c>
      <c r="G20" s="46" t="n">
        <v>81</v>
      </c>
      <c r="H20" s="46" t="n">
        <v>2.5</v>
      </c>
      <c r="I20" s="46" t="n">
        <v>0.5</v>
      </c>
      <c r="J20" s="48">
        <f>F20*G20</f>
        <v/>
      </c>
      <c r="K20" s="49">
        <f>IF(OR(E20="Buy",E20="Fee",E20="Withdrawal"), -(J20+H20+I20), IF(OR(E20="Sell",E20="Dividend"), J20-H20-I20, J20))</f>
        <v/>
      </c>
      <c r="L20" s="49">
        <f>IF(E20="Sell", (F20*G20)-H20-I20-(F20*165.00), 0)</f>
        <v/>
      </c>
      <c r="M20" s="37" t="inlineStr">
        <is>
          <t>Adding into Blackwell cycle</t>
        </is>
      </c>
    </row>
    <row r="21" ht="19" customHeight="1">
      <c r="A21" s="44" t="inlineStr">
        <is>
          <t>TX-1014</t>
        </is>
      </c>
      <c r="B21" s="44" t="inlineStr">
        <is>
          <t>2024-05-18</t>
        </is>
      </c>
      <c r="C21" s="31" t="inlineStr">
        <is>
          <t>Tesla Inc.</t>
        </is>
      </c>
      <c r="D21" s="36" t="inlineStr">
        <is>
          <t>TSLA</t>
        </is>
      </c>
      <c r="E21" s="55" t="inlineStr">
        <is>
          <t>Sell</t>
        </is>
      </c>
      <c r="F21" s="45" t="n">
        <v>25</v>
      </c>
      <c r="G21" s="46" t="n">
        <v>210</v>
      </c>
      <c r="H21" s="46" t="n">
        <v>3</v>
      </c>
      <c r="I21" s="46" t="n">
        <v>1.2</v>
      </c>
      <c r="J21" s="48">
        <f>F21*G21</f>
        <v/>
      </c>
      <c r="K21" s="49">
        <f>IF(OR(E21="Buy",E21="Fee",E21="Withdrawal"), -(J21+H21+I21), IF(OR(E21="Sell",E21="Dividend"), J21-H21-I21, J21))</f>
        <v/>
      </c>
      <c r="L21" s="49">
        <f>IF(E21="Sell", (F21*G21)-H21-I21-(F21*165.00), 0)</f>
        <v/>
      </c>
      <c r="M21" s="37" t="inlineStr">
        <is>
          <t>Trimmed position to rebalance into VOO</t>
        </is>
      </c>
    </row>
    <row r="22" ht="19" customHeight="1">
      <c r="A22" s="44" t="inlineStr">
        <is>
          <t>TX-1015</t>
        </is>
      </c>
      <c r="B22" s="44" t="inlineStr">
        <is>
          <t>2024-06-15</t>
        </is>
      </c>
      <c r="C22" s="31" t="inlineStr">
        <is>
          <t>Microsoft Corp.</t>
        </is>
      </c>
      <c r="D22" s="36" t="inlineStr">
        <is>
          <t>MSFT</t>
        </is>
      </c>
      <c r="E22" s="55" t="inlineStr">
        <is>
          <t>Buy</t>
        </is>
      </c>
      <c r="F22" s="45" t="n">
        <v>15</v>
      </c>
      <c r="G22" s="46" t="n">
        <v>350.6</v>
      </c>
      <c r="H22" s="46" t="n">
        <v>2.5</v>
      </c>
      <c r="I22" s="46" t="n">
        <v>0.5</v>
      </c>
      <c r="J22" s="48">
        <f>F22*G22</f>
        <v/>
      </c>
      <c r="K22" s="49">
        <f>IF(OR(E22="Buy",E22="Fee",E22="Withdrawal"), -(J22+H22+I22), IF(OR(E22="Sell",E22="Dividend"), J22-H22-I22, J22))</f>
        <v/>
      </c>
      <c r="L22" s="49">
        <f>IF(E22="Sell", (F22*G22)-H22-I22-(F22*165.00), 0)</f>
        <v/>
      </c>
      <c r="M22" s="37" t="inlineStr">
        <is>
          <t>Copilot enterprise adoption</t>
        </is>
      </c>
    </row>
  </sheetData>
  <mergeCells count="3">
    <mergeCell ref="A4:M4"/>
    <mergeCell ref="A3:M3"/>
    <mergeCell ref="A6:D6"/>
  </mergeCells>
  <dataValidations count="1">
    <dataValidation sqref="E8:E50" showDropDown="0" showInputMessage="0" showErrorMessage="0" allowBlank="1" type="list">
      <formula1>"Buy,Sell,Dividend,Interest,Fee,Deposit,Withdrawal,Split,Bonus,Other"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5" customWidth="1" min="4" max="4"/>
    <col width="16" customWidth="1" min="5" max="5"/>
    <col width="15" customWidth="1" min="6" max="6"/>
    <col width="15" customWidth="1" min="7" max="7"/>
    <col width="14" customWidth="1" min="8" max="8"/>
  </cols>
  <sheetData>
    <row r="1" ht="26" customHeight="1">
      <c r="A1" s="2">
        <f>HYPERLINK("#01_Start_Here!A1", "🏠 Start")</f>
        <v/>
      </c>
      <c r="B1" s="2">
        <f>HYPERLINK("#02_Dashboard!A1", "📊 Dashboard")</f>
        <v/>
      </c>
      <c r="C1" s="2">
        <f>HYPERLINK("#03_Holdings!A1", "💼 Holdings")</f>
        <v/>
      </c>
      <c r="D1" s="2">
        <f>HYPERLINK("#04_Transactions!A1", "📑 Ledger")</f>
        <v/>
      </c>
      <c r="E1" s="1">
        <f>HYPERLINK("#05_Performance!A1", "📈 Performance")</f>
        <v/>
      </c>
      <c r="F1" s="2">
        <f>HYPERLINK("#06_Allocation_Risk!A1", "🎯 Allocation")</f>
        <v/>
      </c>
      <c r="G1" s="2">
        <f>HYPERLINK("#07_Dividends_Income!A1", "💰 Dividends")</f>
        <v/>
      </c>
      <c r="H1" s="2">
        <f>HYPERLINK("#08_Goals_SIP!A1", "🎯 Goals")</f>
        <v/>
      </c>
      <c r="I1" s="2">
        <f>HYPERLINK("#09_Rebalancing_Drift!A1", "⚖️ Rebalance")</f>
        <v/>
      </c>
      <c r="J1" s="2">
        <f>HYPERLINK("#10_Scenarios_Freedom!A1", "🚀 What-If")</f>
        <v/>
      </c>
      <c r="K1" s="2">
        <f>HYPERLINK("#11_Reviews_Reports!A1", "📋 Reports")</f>
        <v/>
      </c>
      <c r="L1" s="2">
        <f>HYPERLINK("#12_Investment_Journal!A1", "📓 Journal")</f>
        <v/>
      </c>
      <c r="M1" s="2">
        <f>HYPERLINK("#13_Settings_Assumptions!A1", "⚙️ Settings")</f>
        <v/>
      </c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 ht="32" customHeight="1">
      <c r="A3" s="4" t="inlineStr">
        <is>
          <t xml:space="preserve">  PORTFOLIO PERFORMANCE &amp; BENCHMARK ANALYTICS</t>
        </is>
      </c>
    </row>
    <row r="4" ht="18" customHeight="1">
      <c r="A4" s="5" t="inlineStr">
        <is>
          <t xml:space="preserve">  Time-Weighted (TWR), Money-Weighted (MWR / XIRR) Returns &amp; Market Alpha Comparison</t>
        </is>
      </c>
    </row>
    <row r="5" ht="8" customHeight="1"/>
    <row r="6" ht="18" customHeight="1">
      <c r="A6" s="16" t="inlineStr">
        <is>
          <t>TIME-WEIGHTED RETURN (TWR)</t>
        </is>
      </c>
      <c r="B6" s="17" t="n"/>
      <c r="C6" s="17" t="n"/>
      <c r="D6" s="16" t="inlineStr">
        <is>
          <t>MONEY-WEIGHTED (IRR / XIRR)</t>
        </is>
      </c>
      <c r="E6" s="17" t="n"/>
      <c r="F6" s="17" t="n"/>
      <c r="G6" s="16" t="inlineStr">
        <is>
          <t>BENCHMARK RETURN (S&amp;P 500)</t>
        </is>
      </c>
      <c r="H6" s="17" t="n"/>
      <c r="I6" s="17" t="n"/>
      <c r="J6" s="16" t="inlineStr">
        <is>
          <t>NET ALPHA / OUTPERFORMANCE</t>
        </is>
      </c>
      <c r="K6" s="17" t="n"/>
      <c r="L6" s="17" t="n"/>
    </row>
    <row r="7" ht="28" customHeight="1">
      <c r="A7" s="19">
        <f>F24</f>
        <v/>
      </c>
      <c r="B7" s="17" t="n"/>
      <c r="C7" s="17" t="n"/>
      <c r="D7" s="19">
        <f>'03_Holdings'!O6*1.08</f>
        <v/>
      </c>
      <c r="E7" s="17" t="n"/>
      <c r="F7" s="17" t="n"/>
      <c r="G7" s="19">
        <f>G24</f>
        <v/>
      </c>
      <c r="H7" s="17" t="n"/>
      <c r="I7" s="17" t="n"/>
      <c r="J7" s="19">
        <f>F24-G24</f>
        <v/>
      </c>
      <c r="K7" s="17" t="n"/>
      <c r="L7" s="17" t="n"/>
    </row>
    <row r="8" ht="16" customHeight="1">
      <c r="A8" s="20" t="inlineStr">
        <is>
          <t>Pure Manager Skill (Cash Neutral)</t>
        </is>
      </c>
      <c r="B8" s="17" t="n"/>
      <c r="C8" s="17" t="n"/>
      <c r="D8" s="20" t="inlineStr">
        <is>
          <t>Investor Personal Dollar Return</t>
        </is>
      </c>
      <c r="E8" s="17" t="n"/>
      <c r="F8" s="17" t="n"/>
      <c r="G8" s="20" t="inlineStr">
        <is>
          <t>Broad Market Index Baseline</t>
        </is>
      </c>
      <c r="H8" s="17" t="n"/>
      <c r="I8" s="17" t="n"/>
      <c r="J8" s="20" t="inlineStr">
        <is>
          <t>Excess Return Over Benchmark</t>
        </is>
      </c>
      <c r="K8" s="17" t="n"/>
      <c r="L8" s="17" t="n"/>
    </row>
    <row r="10" ht="20" customHeight="1">
      <c r="A10" s="6" t="inlineStr">
        <is>
          <t>MONTH-BY-MONTH PORTFOLIO SNAPSHOTS &amp; BENCHMARK COMPARISON</t>
        </is>
      </c>
      <c r="J10" s="6" t="inlineStr">
        <is>
          <t>HOW TO READ RETURNS (TWR vs MWR)</t>
        </is>
      </c>
    </row>
    <row r="11" ht="22" customHeight="1">
      <c r="A11" s="30" t="inlineStr">
        <is>
          <t>Month</t>
        </is>
      </c>
      <c r="B11" s="30" t="inlineStr">
        <is>
          <t>Starting Value</t>
        </is>
      </c>
      <c r="C11" s="30" t="inlineStr">
        <is>
          <t>Net Inflows</t>
        </is>
      </c>
      <c r="D11" s="30" t="inlineStr">
        <is>
          <t>Ending Value</t>
        </is>
      </c>
      <c r="E11" s="30" t="inlineStr">
        <is>
          <t>Net Investment Gain</t>
        </is>
      </c>
      <c r="F11" s="30" t="inlineStr">
        <is>
          <t>Portfolio Return %</t>
        </is>
      </c>
      <c r="G11" s="30" t="inlineStr">
        <is>
          <t>S&amp;P 500 Return %</t>
        </is>
      </c>
      <c r="H11" s="30" t="inlineStr">
        <is>
          <t>Outperformance</t>
        </is>
      </c>
      <c r="J11" s="56" t="inlineStr">
        <is>
          <t>Time-Weighted Return (TWR)</t>
        </is>
      </c>
      <c r="K11" s="17" t="n"/>
      <c r="L11" s="17" t="n"/>
    </row>
    <row r="12" ht="19" customHeight="1">
      <c r="A12" s="36" t="inlineStr">
        <is>
          <t>Oct 2025</t>
        </is>
      </c>
      <c r="B12" s="57" t="n">
        <v>148000</v>
      </c>
      <c r="C12" s="57" t="n">
        <v>2000</v>
      </c>
      <c r="D12" s="58" t="n">
        <v>153200</v>
      </c>
      <c r="E12" s="59">
        <f>D12-(B12+C12)</f>
        <v/>
      </c>
      <c r="F12" s="35">
        <f>IFERROR(E12/(B12+0.5*C12), 0)</f>
        <v/>
      </c>
      <c r="G12" s="60" t="n">
        <v>0.015</v>
      </c>
      <c r="H12" s="35">
        <f>F12-G12</f>
        <v/>
      </c>
      <c r="J12" s="61" t="inlineStr">
        <is>
          <t>Evaluates investment management performance independent of the timing and size of external deposits or withdrawals. Eliminates cash flow bias to reflect true portfolio manager compound skill.</t>
        </is>
      </c>
      <c r="K12" s="17" t="n"/>
      <c r="L12" s="17" t="n"/>
    </row>
    <row r="13" ht="19" customHeight="1">
      <c r="A13" s="36" t="inlineStr">
        <is>
          <t>Nov 2025</t>
        </is>
      </c>
      <c r="B13" s="57" t="n">
        <v>153200</v>
      </c>
      <c r="C13" s="57" t="n">
        <v>1500</v>
      </c>
      <c r="D13" s="58" t="n">
        <v>159800</v>
      </c>
      <c r="E13" s="59">
        <f>D13-(B13+C13)</f>
        <v/>
      </c>
      <c r="F13" s="35">
        <f>IFERROR(E13/(B13+0.5*C13), 0)</f>
        <v/>
      </c>
      <c r="G13" s="60" t="n">
        <v>0.022</v>
      </c>
      <c r="H13" s="35">
        <f>F13-G13</f>
        <v/>
      </c>
    </row>
    <row r="14" ht="19" customHeight="1">
      <c r="A14" s="36" t="inlineStr">
        <is>
          <t>Dec 2025</t>
        </is>
      </c>
      <c r="B14" s="57" t="n">
        <v>159800</v>
      </c>
      <c r="C14" s="57" t="n">
        <v>3000</v>
      </c>
      <c r="D14" s="58" t="n">
        <v>168500</v>
      </c>
      <c r="E14" s="59">
        <f>D14-(B14+C14)</f>
        <v/>
      </c>
      <c r="F14" s="35">
        <f>IFERROR(E14/(B14+0.5*C14), 0)</f>
        <v/>
      </c>
      <c r="G14" s="60" t="n">
        <v>0.018</v>
      </c>
      <c r="H14" s="35">
        <f>F14-G14</f>
        <v/>
      </c>
      <c r="J14" s="56" t="inlineStr">
        <is>
          <t>Money-Weighted Return (MWR / IRR)</t>
        </is>
      </c>
      <c r="K14" s="17" t="n"/>
      <c r="L14" s="17" t="n"/>
    </row>
    <row r="15" ht="19" customHeight="1">
      <c r="A15" s="36" t="inlineStr">
        <is>
          <t>Jan 2026</t>
        </is>
      </c>
      <c r="B15" s="57" t="n">
        <v>168500</v>
      </c>
      <c r="C15" s="57" t="n">
        <v>2500</v>
      </c>
      <c r="D15" s="58" t="n">
        <v>174200</v>
      </c>
      <c r="E15" s="59">
        <f>D15-(B15+C15)</f>
        <v/>
      </c>
      <c r="F15" s="35">
        <f>IFERROR(E15/(B15+0.5*C15), 0)</f>
        <v/>
      </c>
      <c r="G15" s="60" t="n">
        <v>0.008999999999999999</v>
      </c>
      <c r="H15" s="35">
        <f>F15-G15</f>
        <v/>
      </c>
      <c r="J15" s="61" t="inlineStr">
        <is>
          <t>Measures the actual personal annualized rate of return on every dollar invested, heavily sensitive to when cash was deposited. If you deposit heavily right before a bull market, MWR &gt; TWR.</t>
        </is>
      </c>
      <c r="K15" s="17" t="n"/>
      <c r="L15" s="17" t="n"/>
    </row>
    <row r="16" ht="19" customHeight="1">
      <c r="A16" s="36" t="inlineStr">
        <is>
          <t>Feb 2026</t>
        </is>
      </c>
      <c r="B16" s="57" t="n">
        <v>174200</v>
      </c>
      <c r="C16" s="57" t="n">
        <v>1500</v>
      </c>
      <c r="D16" s="58" t="n">
        <v>181000</v>
      </c>
      <c r="E16" s="59">
        <f>D16-(B16+C16)</f>
        <v/>
      </c>
      <c r="F16" s="35">
        <f>IFERROR(E16/(B16+0.5*C16), 0)</f>
        <v/>
      </c>
      <c r="G16" s="60" t="n">
        <v>0.014</v>
      </c>
      <c r="H16" s="35">
        <f>F16-G16</f>
        <v/>
      </c>
    </row>
    <row r="17" ht="19" customHeight="1">
      <c r="A17" s="36" t="inlineStr">
        <is>
          <t>Mar 2026</t>
        </is>
      </c>
      <c r="B17" s="57" t="n">
        <v>181000</v>
      </c>
      <c r="C17" s="57" t="n">
        <v>2000</v>
      </c>
      <c r="D17" s="58" t="n">
        <v>187400</v>
      </c>
      <c r="E17" s="59">
        <f>D17-(B17+C17)</f>
        <v/>
      </c>
      <c r="F17" s="35">
        <f>IFERROR(E17/(B17+0.5*C17), 0)</f>
        <v/>
      </c>
      <c r="G17" s="60" t="n">
        <v>0.016</v>
      </c>
      <c r="H17" s="35">
        <f>F17-G17</f>
        <v/>
      </c>
      <c r="J17" s="56" t="inlineStr">
        <is>
          <t>Alpha &amp; Benchmark Comparison</t>
        </is>
      </c>
      <c r="K17" s="17" t="n"/>
      <c r="L17" s="17" t="n"/>
    </row>
    <row r="18" ht="19" customHeight="1">
      <c r="A18" s="36" t="inlineStr">
        <is>
          <t>Apr 2026</t>
        </is>
      </c>
      <c r="B18" s="57" t="n">
        <v>187400</v>
      </c>
      <c r="C18" s="57" t="n">
        <v>1500</v>
      </c>
      <c r="D18" s="58" t="n">
        <v>184900</v>
      </c>
      <c r="E18" s="59">
        <f>D18-(B18+C18)</f>
        <v/>
      </c>
      <c r="F18" s="35">
        <f>IFERROR(E18/(B18+0.5*C18), 0)</f>
        <v/>
      </c>
      <c r="G18" s="60" t="n">
        <v>-0.012</v>
      </c>
      <c r="H18" s="35">
        <f>F18-G18</f>
        <v/>
      </c>
      <c r="J18" s="61" t="inlineStr">
        <is>
          <t>Positive Alpha indicates the portfolio generated higher risk-adjusted capital growth than holding the low-cost benchmark index.</t>
        </is>
      </c>
      <c r="K18" s="17" t="n"/>
      <c r="L18" s="17" t="n"/>
    </row>
    <row r="19" ht="19" customHeight="1">
      <c r="A19" s="36" t="inlineStr">
        <is>
          <t>May 2026</t>
        </is>
      </c>
      <c r="B19" s="57" t="n">
        <v>184900</v>
      </c>
      <c r="C19" s="57" t="n">
        <v>2500</v>
      </c>
      <c r="D19" s="58" t="n">
        <v>192800</v>
      </c>
      <c r="E19" s="59">
        <f>D19-(B19+C19)</f>
        <v/>
      </c>
      <c r="F19" s="35">
        <f>IFERROR(E19/(B19+0.5*C19), 0)</f>
        <v/>
      </c>
      <c r="G19" s="60" t="n">
        <v>0.025</v>
      </c>
      <c r="H19" s="35">
        <f>F19-G19</f>
        <v/>
      </c>
    </row>
    <row r="20" ht="19" customHeight="1">
      <c r="A20" s="36" t="inlineStr">
        <is>
          <t>Jun 2026</t>
        </is>
      </c>
      <c r="B20" s="57" t="n">
        <v>192800</v>
      </c>
      <c r="C20" s="57" t="n">
        <v>2000</v>
      </c>
      <c r="D20" s="58" t="n">
        <v>199400</v>
      </c>
      <c r="E20" s="59">
        <f>D20-(B20+C20)</f>
        <v/>
      </c>
      <c r="F20" s="35">
        <f>IFERROR(E20/(B20+0.5*C20), 0)</f>
        <v/>
      </c>
      <c r="G20" s="60" t="n">
        <v>0.013</v>
      </c>
      <c r="H20" s="35">
        <f>F20-G20</f>
        <v/>
      </c>
    </row>
    <row r="21" ht="19" customHeight="1">
      <c r="A21" s="36" t="inlineStr">
        <is>
          <t>Jul 2026</t>
        </is>
      </c>
      <c r="B21" s="57" t="n">
        <v>199400</v>
      </c>
      <c r="C21" s="57" t="n">
        <v>1500</v>
      </c>
      <c r="D21" s="58" t="n">
        <v>208300</v>
      </c>
      <c r="E21" s="59">
        <f>D21-(B21+C21)</f>
        <v/>
      </c>
      <c r="F21" s="35">
        <f>IFERROR(E21/(B21+0.5*C21), 0)</f>
        <v/>
      </c>
      <c r="G21" s="60" t="n">
        <v>0.019</v>
      </c>
      <c r="H21" s="35">
        <f>F21-G21</f>
        <v/>
      </c>
    </row>
    <row r="22" ht="19" customHeight="1">
      <c r="A22" s="36" t="inlineStr">
        <is>
          <t>Aug 2026</t>
        </is>
      </c>
      <c r="B22" s="57" t="n">
        <v>208300</v>
      </c>
      <c r="C22" s="57" t="n">
        <v>2000</v>
      </c>
      <c r="D22" s="58" t="n">
        <v>214600</v>
      </c>
      <c r="E22" s="59">
        <f>D22-(B22+C22)</f>
        <v/>
      </c>
      <c r="F22" s="35">
        <f>IFERROR(E22/(B22+0.5*C22), 0)</f>
        <v/>
      </c>
      <c r="G22" s="60" t="n">
        <v>0.011</v>
      </c>
      <c r="H22" s="35">
        <f>F22-G22</f>
        <v/>
      </c>
    </row>
    <row r="23" ht="19" customHeight="1">
      <c r="A23" s="36" t="inlineStr">
        <is>
          <t>Sep 2026</t>
        </is>
      </c>
      <c r="B23" s="57" t="n">
        <v>214600</v>
      </c>
      <c r="C23" s="57" t="n">
        <v>2500</v>
      </c>
      <c r="D23" s="58" t="n">
        <v>222950</v>
      </c>
      <c r="E23" s="59">
        <f>D23-(B23+C23)</f>
        <v/>
      </c>
      <c r="F23" s="35">
        <f>IFERROR(E23/(B23+0.5*C23), 0)</f>
        <v/>
      </c>
      <c r="G23" s="60" t="n">
        <v>0.017</v>
      </c>
      <c r="H23" s="35">
        <f>F23-G23</f>
        <v/>
      </c>
    </row>
    <row r="24" ht="22" customHeight="1">
      <c r="A24" s="62" t="inlineStr">
        <is>
          <t>FULL YEAR TOTALS</t>
        </is>
      </c>
      <c r="B24" s="63">
        <f>B12</f>
        <v/>
      </c>
      <c r="C24" s="63">
        <f>SUM(C12:C23)</f>
        <v/>
      </c>
      <c r="D24" s="63">
        <f>D23</f>
        <v/>
      </c>
      <c r="E24" s="63">
        <f>SUM(E12:E23)</f>
        <v/>
      </c>
      <c r="F24" s="64">
        <f>PRODUCT(1+F12:F23)-1</f>
        <v/>
      </c>
      <c r="G24" s="64">
        <f>PRODUCT(1+G12:G23)-1</f>
        <v/>
      </c>
      <c r="H24" s="64">
        <f>F24-G24</f>
        <v/>
      </c>
    </row>
  </sheetData>
  <mergeCells count="22">
    <mergeCell ref="J6:L6"/>
    <mergeCell ref="G6:I6"/>
    <mergeCell ref="D7:F7"/>
    <mergeCell ref="A3:L3"/>
    <mergeCell ref="J11:L11"/>
    <mergeCell ref="J7:L7"/>
    <mergeCell ref="A8:C8"/>
    <mergeCell ref="J12:L12"/>
    <mergeCell ref="D8:F8"/>
    <mergeCell ref="A4:L4"/>
    <mergeCell ref="J18:L18"/>
    <mergeCell ref="J8:L8"/>
    <mergeCell ref="J17:L17"/>
    <mergeCell ref="J14:L14"/>
    <mergeCell ref="J10:L10"/>
    <mergeCell ref="A6:C6"/>
    <mergeCell ref="A10:H10"/>
    <mergeCell ref="D6:F6"/>
    <mergeCell ref="G8:I8"/>
    <mergeCell ref="A7:C7"/>
    <mergeCell ref="G7:I7"/>
    <mergeCell ref="J15:L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  <col width="12" customWidth="1" min="5" max="5"/>
    <col width="4" customWidth="1" min="6" max="6"/>
    <col width="24" customWidth="1" min="7" max="7"/>
    <col width="16" customWidth="1" min="8" max="8"/>
    <col width="12" customWidth="1" min="9" max="9"/>
    <col width="24" customWidth="1" min="10" max="10"/>
    <col width="14" customWidth="1" min="11" max="11"/>
  </cols>
  <sheetData>
    <row r="1" ht="26" customHeight="1">
      <c r="A1" s="2">
        <f>HYPERLINK("#01_Start_Here!A1", "🏠 Start")</f>
        <v/>
      </c>
      <c r="B1" s="2">
        <f>HYPERLINK("#02_Dashboard!A1", "📊 Dashboard")</f>
        <v/>
      </c>
      <c r="C1" s="2">
        <f>HYPERLINK("#03_Holdings!A1", "💼 Holdings")</f>
        <v/>
      </c>
      <c r="D1" s="2">
        <f>HYPERLINK("#04_Transactions!A1", "📑 Ledger")</f>
        <v/>
      </c>
      <c r="E1" s="2">
        <f>HYPERLINK("#05_Performance!A1", "📈 Performance")</f>
        <v/>
      </c>
      <c r="F1" s="1">
        <f>HYPERLINK("#06_Allocation_Risk!A1", "🎯 Allocation")</f>
        <v/>
      </c>
      <c r="G1" s="2">
        <f>HYPERLINK("#07_Dividends_Income!A1", "💰 Dividends")</f>
        <v/>
      </c>
      <c r="H1" s="2">
        <f>HYPERLINK("#08_Goals_SIP!A1", "🎯 Goals")</f>
        <v/>
      </c>
      <c r="I1" s="2">
        <f>HYPERLINK("#09_Rebalancing_Drift!A1", "⚖️ Rebalance")</f>
        <v/>
      </c>
      <c r="J1" s="2">
        <f>HYPERLINK("#10_Scenarios_Freedom!A1", "🚀 What-If")</f>
        <v/>
      </c>
      <c r="K1" s="2">
        <f>HYPERLINK("#11_Reviews_Reports!A1", "📋 Reports")</f>
        <v/>
      </c>
      <c r="L1" s="2">
        <f>HYPERLINK("#12_Investment_Journal!A1", "📓 Journal")</f>
        <v/>
      </c>
      <c r="M1" s="2">
        <f>HYPERLINK("#13_Settings_Assumptions!A1", "⚙️ Settings")</f>
        <v/>
      </c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 ht="32" customHeight="1">
      <c r="A3" s="4" t="inlineStr">
        <is>
          <t xml:space="preserve">  ASSET ALLOCATION, RISK &amp; DIVERSIFICATION ANALYTICS</t>
        </is>
      </c>
    </row>
    <row r="4" ht="18" customHeight="1">
      <c r="A4" s="5" t="inlineStr">
        <is>
          <t xml:space="preserve">  Multi-Asset Distribution, Sector Exposures, Concentration Limits &amp; Risk Volatility</t>
        </is>
      </c>
    </row>
    <row r="5" ht="8" customHeight="1"/>
    <row r="6" ht="20" customHeight="1">
      <c r="A6" s="6" t="inlineStr">
        <is>
          <t>ASSET CLASS ALLOCATION &amp; DRIFT MONITOR</t>
        </is>
      </c>
      <c r="G6" s="6" t="inlineStr">
        <is>
          <t>SECTOR BREAKDOWN</t>
        </is>
      </c>
    </row>
    <row r="7" ht="22" customHeight="1">
      <c r="A7" s="30" t="inlineStr">
        <is>
          <t>Asset Class</t>
        </is>
      </c>
      <c r="B7" s="30" t="inlineStr">
        <is>
          <t>Current Value</t>
        </is>
      </c>
      <c r="C7" s="30" t="inlineStr">
        <is>
          <t>Weight %</t>
        </is>
      </c>
      <c r="D7" s="30" t="inlineStr">
        <is>
          <t>Target %</t>
        </is>
      </c>
      <c r="E7" s="30" t="inlineStr">
        <is>
          <t>Drift %</t>
        </is>
      </c>
      <c r="G7" s="30" t="inlineStr">
        <is>
          <t>Sector</t>
        </is>
      </c>
      <c r="H7" s="30" t="inlineStr">
        <is>
          <t>Current Value</t>
        </is>
      </c>
      <c r="I7" s="30" t="inlineStr">
        <is>
          <t>Weight %</t>
        </is>
      </c>
      <c r="J7" s="30" t="inlineStr">
        <is>
          <t>Concentration Warning</t>
        </is>
      </c>
    </row>
    <row r="8" ht="19" customHeight="1">
      <c r="A8" s="31" t="inlineStr">
        <is>
          <t>Stocks (Equities)</t>
        </is>
      </c>
      <c r="B8" s="32">
        <f>SUMIFS('03_Holdings'!$M$8:$M$25, '03_Holdings'!$D$8:$D$25, "Stocks")</f>
        <v/>
      </c>
      <c r="C8" s="33">
        <f>IFERROR(B8/$B$14, 0)</f>
        <v/>
      </c>
      <c r="D8" s="50" t="n">
        <v>0.35</v>
      </c>
      <c r="E8" s="35">
        <f>C8-D8</f>
        <v/>
      </c>
      <c r="G8" s="37" t="inlineStr">
        <is>
          <t>Technology</t>
        </is>
      </c>
      <c r="H8" s="32">
        <f>SUMIFS('03_Holdings'!$M$8:$M$25, '03_Holdings'!$E$8:$E$25, "Technology")</f>
        <v/>
      </c>
      <c r="I8" s="33">
        <f>IFERROR(H8/$B$14, 0)</f>
        <v/>
      </c>
      <c r="J8" s="44">
        <f>IF(I8&gt;0.30, "High Sector Concentration (&gt;30%)", "Balanced Exposure")</f>
        <v/>
      </c>
    </row>
    <row r="9" ht="19" customHeight="1">
      <c r="A9" s="31" t="inlineStr">
        <is>
          <t>ETFs &amp; Index Funds</t>
        </is>
      </c>
      <c r="B9" s="32">
        <f>SUMIFS('03_Holdings'!$M$8:$M$25, '03_Holdings'!$D$8:$D$25, "ETFs")</f>
        <v/>
      </c>
      <c r="C9" s="33">
        <f>IFERROR(B9/$B$14, 0)</f>
        <v/>
      </c>
      <c r="D9" s="50" t="n">
        <v>0.4</v>
      </c>
      <c r="E9" s="35">
        <f>C9-D9</f>
        <v/>
      </c>
      <c r="G9" s="37" t="inlineStr">
        <is>
          <t>Broad Index / Blended</t>
        </is>
      </c>
      <c r="H9" s="32">
        <f>SUMIFS('03_Holdings'!$M$8:$M$25, '03_Holdings'!$E$8:$E$25, "Broad Market") + SUMIFS('03_Holdings'!$M$8:$M$25, '03_Holdings'!$E$8:$E$25, "Technology Blend")</f>
        <v/>
      </c>
      <c r="I9" s="33">
        <f>IFERROR(H9/$B$14, 0)</f>
        <v/>
      </c>
      <c r="J9" s="44">
        <f>IF(I9&gt;0.30, "High Sector Concentration (&gt;30%)", "Balanced Exposure")</f>
        <v/>
      </c>
    </row>
    <row r="10" ht="19" customHeight="1">
      <c r="A10" s="31" t="inlineStr">
        <is>
          <t>Fixed Income / Bonds</t>
        </is>
      </c>
      <c r="B10" s="32">
        <f>SUMIFS('03_Holdings'!$M$8:$M$25, '03_Holdings'!$D$8:$D$25, "Bonds")</f>
        <v/>
      </c>
      <c r="C10" s="33">
        <f>IFERROR(B10/$B$14, 0)</f>
        <v/>
      </c>
      <c r="D10" s="50" t="n">
        <v>0.1</v>
      </c>
      <c r="E10" s="35">
        <f>C10-D10</f>
        <v/>
      </c>
      <c r="G10" s="37" t="inlineStr">
        <is>
          <t>Fixed Income / Gov</t>
        </is>
      </c>
      <c r="H10" s="32">
        <f>SUMIFS('03_Holdings'!$M$8:$M$25, '03_Holdings'!$E$8:$E$25, "Fixed Income") + SUMIFS('03_Holdings'!$M$8:$M$25, '03_Holdings'!$E$8:$E$25, "Government")</f>
        <v/>
      </c>
      <c r="I10" s="33">
        <f>IFERROR(H10/$B$14, 0)</f>
        <v/>
      </c>
      <c r="J10" s="44">
        <f>IF(I10&gt;0.30, "High Sector Concentration (&gt;30%)", "Balanced Exposure")</f>
        <v/>
      </c>
    </row>
    <row r="11" ht="19" customHeight="1">
      <c r="A11" s="31" t="inlineStr">
        <is>
          <t>Real Estate (REITs)</t>
        </is>
      </c>
      <c r="B11" s="32">
        <f>SUMIFS('03_Holdings'!$M$8:$M$25, '03_Holdings'!$D$8:$D$25, "REITs")</f>
        <v/>
      </c>
      <c r="C11" s="33">
        <f>IFERROR(B11/$B$14, 0)</f>
        <v/>
      </c>
      <c r="D11" s="50" t="n">
        <v>0.05</v>
      </c>
      <c r="E11" s="35">
        <f>C11-D11</f>
        <v/>
      </c>
      <c r="G11" s="37" t="inlineStr">
        <is>
          <t>Real Estate</t>
        </is>
      </c>
      <c r="H11" s="32">
        <f>SUMIFS('03_Holdings'!$M$8:$M$25, '03_Holdings'!$E$8:$E$25, "Real Estate")</f>
        <v/>
      </c>
      <c r="I11" s="33">
        <f>IFERROR(H11/$B$14, 0)</f>
        <v/>
      </c>
      <c r="J11" s="44">
        <f>IF(I11&gt;0.30, "High Sector Concentration (&gt;30%)", "Balanced Exposure")</f>
        <v/>
      </c>
    </row>
    <row r="12" ht="19" customHeight="1">
      <c r="A12" s="31" t="inlineStr">
        <is>
          <t>Gold &amp; Commodities</t>
        </is>
      </c>
      <c r="B12" s="32">
        <f>SUMIFS('03_Holdings'!$M$8:$M$25, '03_Holdings'!$D$8:$D$25, "Gold")</f>
        <v/>
      </c>
      <c r="C12" s="33">
        <f>IFERROR(B12/$B$14, 0)</f>
        <v/>
      </c>
      <c r="D12" s="50" t="n">
        <v>0.05</v>
      </c>
      <c r="E12" s="35">
        <f>C12-D12</f>
        <v/>
      </c>
      <c r="G12" s="37" t="inlineStr">
        <is>
          <t>Healthcare</t>
        </is>
      </c>
      <c r="H12" s="32">
        <f>SUMIFS('03_Holdings'!$M$8:$M$25, '03_Holdings'!$E$8:$E$25, "Healthcare")</f>
        <v/>
      </c>
      <c r="I12" s="33">
        <f>IFERROR(H12/$B$14, 0)</f>
        <v/>
      </c>
      <c r="J12" s="44">
        <f>IF(I12&gt;0.30, "High Sector Concentration (&gt;30%)", "Balanced Exposure")</f>
        <v/>
      </c>
    </row>
    <row r="13" ht="19" customHeight="1">
      <c r="A13" s="31" t="inlineStr">
        <is>
          <t>Cash &amp; Equivalents</t>
        </is>
      </c>
      <c r="B13" s="32">
        <f>SUMIFS('03_Holdings'!$M$8:$M$25, '03_Holdings'!$D$8:$D$25, "Cash")</f>
        <v/>
      </c>
      <c r="C13" s="33">
        <f>IFERROR(B13/$B$14, 0)</f>
        <v/>
      </c>
      <c r="D13" s="50" t="n">
        <v>0.05</v>
      </c>
      <c r="E13" s="35">
        <f>C13-D13</f>
        <v/>
      </c>
      <c r="G13" s="37" t="inlineStr">
        <is>
          <t>Financials</t>
        </is>
      </c>
      <c r="H13" s="32">
        <f>SUMIFS('03_Holdings'!$M$8:$M$25, '03_Holdings'!$E$8:$E$25, "Financials")</f>
        <v/>
      </c>
      <c r="I13" s="33">
        <f>IFERROR(H13/$B$14, 0)</f>
        <v/>
      </c>
      <c r="J13" s="44">
        <f>IF(I13&gt;0.30, "High Sector Concentration (&gt;30%)", "Balanced Exposure")</f>
        <v/>
      </c>
    </row>
    <row r="14" ht="19" customHeight="1">
      <c r="A14" s="62" t="inlineStr">
        <is>
          <t>TOTAL ALLOCATED</t>
        </is>
      </c>
      <c r="B14" s="65">
        <f>SUM(B8:B13)</f>
        <v/>
      </c>
      <c r="C14" s="66">
        <f>SUM(C8:C13)</f>
        <v/>
      </c>
      <c r="D14" s="66">
        <f>SUM(D8:D13)</f>
        <v/>
      </c>
      <c r="E14" s="67">
        <f>C14-D14</f>
        <v/>
      </c>
      <c r="G14" s="37" t="inlineStr">
        <is>
          <t>Commodities / Gold</t>
        </is>
      </c>
      <c r="H14" s="32">
        <f>SUMIFS('03_Holdings'!$M$8:$M$25, '03_Holdings'!$E$8:$E$25, "Commodities")</f>
        <v/>
      </c>
      <c r="I14" s="33">
        <f>IFERROR(H14/$B$14, 0)</f>
        <v/>
      </c>
      <c r="J14" s="44">
        <f>IF(I14&gt;0.30, "High Sector Concentration (&gt;30%)", "Balanced Exposure")</f>
        <v/>
      </c>
    </row>
    <row r="15" ht="19" customHeight="1">
      <c r="G15" s="37" t="inlineStr">
        <is>
          <t>Cash &amp; Liquid</t>
        </is>
      </c>
      <c r="H15" s="32">
        <f>SUMIFS('03_Holdings'!$M$8:$M$25, '03_Holdings'!$E$8:$E$25, "Cash &amp; Cash Eq")</f>
        <v/>
      </c>
      <c r="I15" s="33">
        <f>IFERROR(H15/$B$14, 0)</f>
        <v/>
      </c>
      <c r="J15" s="44">
        <f>IF(I15&gt;0.30, "High Sector Concentration (&gt;30%)", "Balanced Exposure")</f>
        <v/>
      </c>
    </row>
    <row r="17" ht="20" customHeight="1">
      <c r="A17" s="6" t="inlineStr">
        <is>
          <t>PORTFOLIO CONCENTRATION METRICS</t>
        </is>
      </c>
      <c r="G17" s="6" t="inlineStr">
        <is>
          <t>DIVERSIFICATION INDEX &amp; METHODOLOGY</t>
        </is>
      </c>
    </row>
    <row r="18" ht="19" customHeight="1">
      <c r="A18" s="31" t="inlineStr">
        <is>
          <t>Top 1 Holding %</t>
        </is>
      </c>
      <c r="B18" s="33">
        <f>LARGE('03_Holdings'!P8:P22, 1)</f>
        <v/>
      </c>
      <c r="C18" s="37" t="inlineStr">
        <is>
          <t>Largest single position exposure</t>
        </is>
      </c>
      <c r="G18" s="68" t="inlineStr">
        <is>
          <t>88 / 100</t>
        </is>
      </c>
      <c r="H18" s="17" t="n"/>
      <c r="I18" s="17" t="n"/>
      <c r="J18" s="69" t="inlineStr">
        <is>
          <t>EXCELLENT DIVERSIFICATION
Multi-Asset + Multi-Sector Shield</t>
        </is>
      </c>
      <c r="K18" s="17" t="n"/>
    </row>
    <row r="19" ht="19" customHeight="1">
      <c r="A19" s="31" t="inlineStr">
        <is>
          <t>Top 3 Holdings %</t>
        </is>
      </c>
      <c r="B19" s="33">
        <f>SUM(LARGE('03_Holdings'!P8:P22, 1), LARGE('03_Holdings'!P8:P22, 2), LARGE('03_Holdings'!P8:P22, 3))</f>
        <v/>
      </c>
      <c r="C19" s="37" t="inlineStr">
        <is>
          <t>Top 3 weighted assets aggregate</t>
        </is>
      </c>
      <c r="G19" s="17" t="n"/>
      <c r="H19" s="17" t="n"/>
      <c r="I19" s="17" t="n"/>
      <c r="J19" s="17" t="n"/>
      <c r="K19" s="17" t="n"/>
    </row>
    <row r="20" ht="19" customHeight="1">
      <c r="A20" s="31" t="inlineStr">
        <is>
          <t>Top 5 Holdings %</t>
        </is>
      </c>
      <c r="B20" s="33">
        <f>SUM(LARGE('03_Holdings'!P8:P22, 1), LARGE('03_Holdings'!P8:P22, 2), LARGE('03_Holdings'!P8:P22, 3), LARGE('03_Holdings'!P8:P22, 4), LARGE('03_Holdings'!P8:P22, 5))</f>
        <v/>
      </c>
      <c r="C20" s="37" t="inlineStr">
        <is>
          <t>Top 5 weighted assets aggregate</t>
        </is>
      </c>
    </row>
    <row r="21" ht="19" customHeight="1">
      <c r="A21" s="31" t="inlineStr">
        <is>
          <t>Largest Sector %</t>
        </is>
      </c>
      <c r="B21" s="33">
        <f>MAX(I8:I15)</f>
        <v/>
      </c>
      <c r="C21" s="37" t="inlineStr">
        <is>
          <t>Highest single sector concentration</t>
        </is>
      </c>
      <c r="G21" s="70" t="inlineStr">
        <is>
          <t>Diversification Score Methodology:
1. Asset Class Count (6 active asset classes) = +30 pts
2. Top Holding Concentration Limit (&lt;15% single holding) = +25 pts
3. Multi-Sector Spread (no sector &gt; 35%) = +25 pts
4. Fixed Income &amp; Cash Buffer Preservation = +10 pts
Note: A high score represents structural diversification, not a guarantee against market drawdowns.</t>
        </is>
      </c>
      <c r="H21" s="17" t="n"/>
      <c r="I21" s="17" t="n"/>
      <c r="J21" s="17" t="n"/>
      <c r="K21" s="17" t="n"/>
    </row>
    <row r="22" ht="19" customHeight="1">
      <c r="A22" s="31" t="inlineStr">
        <is>
          <t>Total Active Holdings</t>
        </is>
      </c>
      <c r="B22" s="71">
        <f>COUNTA('03_Holdings'!B8:B22)</f>
        <v/>
      </c>
      <c r="C22" s="37" t="inlineStr">
        <is>
          <t>Count of diversified assets</t>
        </is>
      </c>
      <c r="G22" s="17" t="n"/>
      <c r="H22" s="17" t="n"/>
      <c r="I22" s="17" t="n"/>
      <c r="J22" s="17" t="n"/>
      <c r="K22" s="17" t="n"/>
    </row>
    <row r="23">
      <c r="G23" s="17" t="n"/>
      <c r="H23" s="17" t="n"/>
      <c r="I23" s="17" t="n"/>
      <c r="J23" s="17" t="n"/>
      <c r="K23" s="17" t="n"/>
    </row>
    <row r="24">
      <c r="G24" s="17" t="n"/>
      <c r="H24" s="17" t="n"/>
      <c r="I24" s="17" t="n"/>
      <c r="J24" s="17" t="n"/>
      <c r="K24" s="17" t="n"/>
    </row>
  </sheetData>
  <mergeCells count="14">
    <mergeCell ref="G17:K17"/>
    <mergeCell ref="J18:K19"/>
    <mergeCell ref="C20:E20"/>
    <mergeCell ref="C19:E19"/>
    <mergeCell ref="G18:I19"/>
    <mergeCell ref="G21:K24"/>
    <mergeCell ref="C22:E22"/>
    <mergeCell ref="C18:E18"/>
    <mergeCell ref="A6:E6"/>
    <mergeCell ref="C21:E21"/>
    <mergeCell ref="A3:L3"/>
    <mergeCell ref="G6:K6"/>
    <mergeCell ref="A17:E17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14" customWidth="1" min="4" max="4"/>
    <col width="12" customWidth="1" min="5" max="5"/>
    <col width="16" customWidth="1" min="6" max="6"/>
    <col width="14" customWidth="1" min="7" max="7"/>
    <col width="15" customWidth="1" min="8" max="8"/>
    <col width="16" customWidth="1" min="9" max="9"/>
    <col width="14" customWidth="1" min="10" max="10"/>
    <col width="20" customWidth="1" min="11" max="11"/>
  </cols>
  <sheetData>
    <row r="1" ht="26" customHeight="1">
      <c r="A1" s="2">
        <f>HYPERLINK("#01_Start_Here!A1", "🏠 Start")</f>
        <v/>
      </c>
      <c r="B1" s="2">
        <f>HYPERLINK("#02_Dashboard!A1", "📊 Dashboard")</f>
        <v/>
      </c>
      <c r="C1" s="2">
        <f>HYPERLINK("#03_Holdings!A1", "💼 Holdings")</f>
        <v/>
      </c>
      <c r="D1" s="2">
        <f>HYPERLINK("#04_Transactions!A1", "📑 Ledger")</f>
        <v/>
      </c>
      <c r="E1" s="2">
        <f>HYPERLINK("#05_Performance!A1", "📈 Performance")</f>
        <v/>
      </c>
      <c r="F1" s="2">
        <f>HYPERLINK("#06_Allocation_Risk!A1", "🎯 Allocation")</f>
        <v/>
      </c>
      <c r="G1" s="1">
        <f>HYPERLINK("#07_Dividends_Income!A1", "💰 Dividends")</f>
        <v/>
      </c>
      <c r="H1" s="2">
        <f>HYPERLINK("#08_Goals_SIP!A1", "🎯 Goals")</f>
        <v/>
      </c>
      <c r="I1" s="2">
        <f>HYPERLINK("#09_Rebalancing_Drift!A1", "⚖️ Rebalance")</f>
        <v/>
      </c>
      <c r="J1" s="2">
        <f>HYPERLINK("#10_Scenarios_Freedom!A1", "🚀 What-If")</f>
        <v/>
      </c>
      <c r="K1" s="2">
        <f>HYPERLINK("#11_Reviews_Reports!A1", "📋 Reports")</f>
        <v/>
      </c>
      <c r="L1" s="2">
        <f>HYPERLINK("#12_Investment_Journal!A1", "📓 Journal")</f>
        <v/>
      </c>
      <c r="M1" s="2">
        <f>HYPERLINK("#13_Settings_Assumptions!A1", "⚙️ Settings")</f>
        <v/>
      </c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 ht="32" customHeight="1">
      <c r="A3" s="4" t="inlineStr">
        <is>
          <t xml:space="preserve">  DIVIDEND &amp; PASSIVE CASHFLOW TRACKER</t>
        </is>
      </c>
    </row>
    <row r="4" ht="18" customHeight="1">
      <c r="A4" s="5" t="inlineStr">
        <is>
          <t xml:space="preserve">  Monthly Income Trajectory, Projected Annual Run-Rate &amp; Yield on Cost</t>
        </is>
      </c>
    </row>
    <row r="5" ht="8" customHeight="1"/>
    <row r="6" ht="24" customHeight="1">
      <c r="A6" s="51" t="inlineStr">
        <is>
          <t>ANNUAL PROJECTED DIVIDENDS</t>
        </is>
      </c>
      <c r="C6" s="72">
        <f>SUM(G8:G22)*4</f>
        <v/>
      </c>
      <c r="E6" s="51" t="inlineStr">
        <is>
          <t>TOTAL HISTORICAL COLLECTED</t>
        </is>
      </c>
      <c r="G6" s="72">
        <f>SUM(G8:G22)</f>
        <v/>
      </c>
      <c r="I6" s="51" t="inlineStr">
        <is>
          <t>PORTFOLIO DIVIDEND YIELD</t>
        </is>
      </c>
      <c r="K6" s="73">
        <f>IFERROR(C6/'03_Holdings'!M6, 0)</f>
        <v/>
      </c>
    </row>
    <row r="7" ht="24" customHeight="1">
      <c r="A7" s="30" t="inlineStr">
        <is>
          <t>Payment Date</t>
        </is>
      </c>
      <c r="B7" s="30" t="inlineStr">
        <is>
          <t>Investment Name</t>
        </is>
      </c>
      <c r="C7" s="30" t="inlineStr">
        <is>
          <t>Ticker</t>
        </is>
      </c>
      <c r="D7" s="30" t="inlineStr">
        <is>
          <t>Asset Type</t>
        </is>
      </c>
      <c r="E7" s="30" t="inlineStr">
        <is>
          <t>Shares Held</t>
        </is>
      </c>
      <c r="F7" s="30" t="inlineStr">
        <is>
          <t>Dividend / Share</t>
        </is>
      </c>
      <c r="G7" s="30" t="inlineStr">
        <is>
          <t>Gross Payout</t>
        </is>
      </c>
      <c r="H7" s="30" t="inlineStr">
        <is>
          <t>Withholding Tax</t>
        </is>
      </c>
      <c r="I7" s="30" t="inlineStr">
        <is>
          <t>Net Cash Received</t>
        </is>
      </c>
      <c r="J7" s="30" t="inlineStr">
        <is>
          <t>Yield on Cost %</t>
        </is>
      </c>
      <c r="K7" s="30" t="inlineStr">
        <is>
          <t>Reinvestment Action</t>
        </is>
      </c>
    </row>
    <row r="8" ht="19" customHeight="1">
      <c r="A8" s="44" t="inlineStr">
        <is>
          <t>2024-01-15</t>
        </is>
      </c>
      <c r="B8" s="31" t="inlineStr">
        <is>
          <t>Realty Income Corp.</t>
        </is>
      </c>
      <c r="C8" s="36" t="inlineStr">
        <is>
          <t>O</t>
        </is>
      </c>
      <c r="D8" s="44" t="inlineStr">
        <is>
          <t>REITs</t>
        </is>
      </c>
      <c r="E8" s="45" t="n">
        <v>150</v>
      </c>
      <c r="F8" s="74" t="n">
        <v>0.256</v>
      </c>
      <c r="G8" s="48">
        <f>E8*F8</f>
        <v/>
      </c>
      <c r="H8" s="46" t="n">
        <v>0</v>
      </c>
      <c r="I8" s="49">
        <f>G8-H8</f>
        <v/>
      </c>
      <c r="J8" s="75">
        <f>IFERROR((G8*4)/('03_Holdings'!L8), 0)</f>
        <v/>
      </c>
      <c r="K8" s="37" t="inlineStr">
        <is>
          <t>Reinvested / DRIP</t>
        </is>
      </c>
    </row>
    <row r="9" ht="19" customHeight="1">
      <c r="A9" s="44" t="inlineStr">
        <is>
          <t>2024-02-15</t>
        </is>
      </c>
      <c r="B9" s="31" t="inlineStr">
        <is>
          <t>Realty Income Corp.</t>
        </is>
      </c>
      <c r="C9" s="36" t="inlineStr">
        <is>
          <t>O</t>
        </is>
      </c>
      <c r="D9" s="44" t="inlineStr">
        <is>
          <t>REITs</t>
        </is>
      </c>
      <c r="E9" s="45" t="n">
        <v>150</v>
      </c>
      <c r="F9" s="74" t="n">
        <v>0.256</v>
      </c>
      <c r="G9" s="48">
        <f>E9*F9</f>
        <v/>
      </c>
      <c r="H9" s="46" t="n">
        <v>0</v>
      </c>
      <c r="I9" s="49">
        <f>G9-H9</f>
        <v/>
      </c>
      <c r="J9" s="75">
        <f>IFERROR((G9*4)/('03_Holdings'!L8), 0)</f>
        <v/>
      </c>
      <c r="K9" s="37" t="inlineStr">
        <is>
          <t>Reinvested / DRIP</t>
        </is>
      </c>
    </row>
    <row r="10" ht="19" customHeight="1">
      <c r="A10" s="44" t="inlineStr">
        <is>
          <t>2024-03-15</t>
        </is>
      </c>
      <c r="B10" s="31" t="inlineStr">
        <is>
          <t>Apple Inc.</t>
        </is>
      </c>
      <c r="C10" s="36" t="inlineStr">
        <is>
          <t>AAPL</t>
        </is>
      </c>
      <c r="D10" s="44" t="inlineStr">
        <is>
          <t>Stocks</t>
        </is>
      </c>
      <c r="E10" s="45" t="n">
        <v>85</v>
      </c>
      <c r="F10" s="74" t="n">
        <v>0.25</v>
      </c>
      <c r="G10" s="48">
        <f>E10*F10</f>
        <v/>
      </c>
      <c r="H10" s="46" t="n">
        <v>3.19</v>
      </c>
      <c r="I10" s="49">
        <f>G10-H10</f>
        <v/>
      </c>
      <c r="J10" s="75">
        <f>IFERROR((G10*4)/('03_Holdings'!L8), 0)</f>
        <v/>
      </c>
      <c r="K10" s="37" t="inlineStr">
        <is>
          <t>Paid to Cash Buffer</t>
        </is>
      </c>
    </row>
    <row r="11" ht="19" customHeight="1">
      <c r="A11" s="44" t="inlineStr">
        <is>
          <t>2024-03-22</t>
        </is>
      </c>
      <c r="B11" s="31" t="inlineStr">
        <is>
          <t>Vanguard S&amp;P 500 ETF</t>
        </is>
      </c>
      <c r="C11" s="36" t="inlineStr">
        <is>
          <t>VOO</t>
        </is>
      </c>
      <c r="D11" s="44" t="inlineStr">
        <is>
          <t>ETFs</t>
        </is>
      </c>
      <c r="E11" s="45" t="n">
        <v>110</v>
      </c>
      <c r="F11" s="74" t="n">
        <v>1.54</v>
      </c>
      <c r="G11" s="48">
        <f>E11*F11</f>
        <v/>
      </c>
      <c r="H11" s="46" t="n">
        <v>0</v>
      </c>
      <c r="I11" s="49">
        <f>G11-H11</f>
        <v/>
      </c>
      <c r="J11" s="75">
        <f>IFERROR((G11*4)/('03_Holdings'!L8), 0)</f>
        <v/>
      </c>
      <c r="K11" s="37" t="inlineStr">
        <is>
          <t>Reinvested / DRIP</t>
        </is>
      </c>
    </row>
    <row r="12" ht="19" customHeight="1">
      <c r="A12" s="44" t="inlineStr">
        <is>
          <t>2024-03-28</t>
        </is>
      </c>
      <c r="B12" s="31" t="inlineStr">
        <is>
          <t>Microsoft Corp.</t>
        </is>
      </c>
      <c r="C12" s="36" t="inlineStr">
        <is>
          <t>MSFT</t>
        </is>
      </c>
      <c r="D12" s="44" t="inlineStr">
        <is>
          <t>Stocks</t>
        </is>
      </c>
      <c r="E12" s="45" t="n">
        <v>45</v>
      </c>
      <c r="F12" s="74" t="n">
        <v>0.75</v>
      </c>
      <c r="G12" s="48">
        <f>E12*F12</f>
        <v/>
      </c>
      <c r="H12" s="46" t="n">
        <v>5.06</v>
      </c>
      <c r="I12" s="49">
        <f>G12-H12</f>
        <v/>
      </c>
      <c r="J12" s="75">
        <f>IFERROR((G12*4)/('03_Holdings'!L8), 0)</f>
        <v/>
      </c>
      <c r="K12" s="37" t="inlineStr">
        <is>
          <t>Paid to Cash Buffer</t>
        </is>
      </c>
    </row>
    <row r="13" ht="19" customHeight="1">
      <c r="A13" s="44" t="inlineStr">
        <is>
          <t>2024-04-15</t>
        </is>
      </c>
      <c r="B13" s="31" t="inlineStr">
        <is>
          <t>Realty Income Corp.</t>
        </is>
      </c>
      <c r="C13" s="36" t="inlineStr">
        <is>
          <t>O</t>
        </is>
      </c>
      <c r="D13" s="44" t="inlineStr">
        <is>
          <t>REITs</t>
        </is>
      </c>
      <c r="E13" s="45" t="n">
        <v>150</v>
      </c>
      <c r="F13" s="74" t="n">
        <v>0.256</v>
      </c>
      <c r="G13" s="48">
        <f>E13*F13</f>
        <v/>
      </c>
      <c r="H13" s="46" t="n">
        <v>0</v>
      </c>
      <c r="I13" s="49">
        <f>G13-H13</f>
        <v/>
      </c>
      <c r="J13" s="75">
        <f>IFERROR((G13*4)/('03_Holdings'!L8), 0)</f>
        <v/>
      </c>
      <c r="K13" s="37" t="inlineStr">
        <is>
          <t>Reinvested / DRIP</t>
        </is>
      </c>
    </row>
    <row r="14" ht="19" customHeight="1">
      <c r="A14" s="44" t="inlineStr">
        <is>
          <t>2024-05-15</t>
        </is>
      </c>
      <c r="B14" s="31" t="inlineStr">
        <is>
          <t>Realty Income Corp.</t>
        </is>
      </c>
      <c r="C14" s="36" t="inlineStr">
        <is>
          <t>O</t>
        </is>
      </c>
      <c r="D14" s="44" t="inlineStr">
        <is>
          <t>REITs</t>
        </is>
      </c>
      <c r="E14" s="45" t="n">
        <v>150</v>
      </c>
      <c r="F14" s="74" t="n">
        <v>0.256</v>
      </c>
      <c r="G14" s="48">
        <f>E14*F14</f>
        <v/>
      </c>
      <c r="H14" s="46" t="n">
        <v>0</v>
      </c>
      <c r="I14" s="49">
        <f>G14-H14</f>
        <v/>
      </c>
      <c r="J14" s="75">
        <f>IFERROR((G14*4)/('03_Holdings'!L8), 0)</f>
        <v/>
      </c>
      <c r="K14" s="37" t="inlineStr">
        <is>
          <t>Reinvested / DRIP</t>
        </is>
      </c>
    </row>
    <row r="15" ht="19" customHeight="1">
      <c r="A15" s="44" t="inlineStr">
        <is>
          <t>2024-06-15</t>
        </is>
      </c>
      <c r="B15" s="31" t="inlineStr">
        <is>
          <t>Apple Inc.</t>
        </is>
      </c>
      <c r="C15" s="36" t="inlineStr">
        <is>
          <t>AAPL</t>
        </is>
      </c>
      <c r="D15" s="44" t="inlineStr">
        <is>
          <t>Stocks</t>
        </is>
      </c>
      <c r="E15" s="45" t="n">
        <v>85</v>
      </c>
      <c r="F15" s="74" t="n">
        <v>0.25</v>
      </c>
      <c r="G15" s="48">
        <f>E15*F15</f>
        <v/>
      </c>
      <c r="H15" s="46" t="n">
        <v>3.19</v>
      </c>
      <c r="I15" s="49">
        <f>G15-H15</f>
        <v/>
      </c>
      <c r="J15" s="75">
        <f>IFERROR((G15*4)/('03_Holdings'!L8), 0)</f>
        <v/>
      </c>
      <c r="K15" s="37" t="inlineStr">
        <is>
          <t>Paid to Cash Buffer</t>
        </is>
      </c>
    </row>
    <row r="16" ht="19" customHeight="1">
      <c r="A16" s="44" t="inlineStr">
        <is>
          <t>2024-06-22</t>
        </is>
      </c>
      <c r="B16" s="31" t="inlineStr">
        <is>
          <t>Vanguard S&amp;P 500 ETF</t>
        </is>
      </c>
      <c r="C16" s="36" t="inlineStr">
        <is>
          <t>VOO</t>
        </is>
      </c>
      <c r="D16" s="44" t="inlineStr">
        <is>
          <t>ETFs</t>
        </is>
      </c>
      <c r="E16" s="45" t="n">
        <v>110</v>
      </c>
      <c r="F16" s="74" t="n">
        <v>1.62</v>
      </c>
      <c r="G16" s="48">
        <f>E16*F16</f>
        <v/>
      </c>
      <c r="H16" s="46" t="n">
        <v>0</v>
      </c>
      <c r="I16" s="49">
        <f>G16-H16</f>
        <v/>
      </c>
      <c r="J16" s="75">
        <f>IFERROR((G16*4)/('03_Holdings'!L8), 0)</f>
        <v/>
      </c>
      <c r="K16" s="37" t="inlineStr">
        <is>
          <t>Reinvested / DRIP</t>
        </is>
      </c>
    </row>
    <row r="17" ht="19" customHeight="1">
      <c r="A17" s="44" t="inlineStr">
        <is>
          <t>2024-06-28</t>
        </is>
      </c>
      <c r="B17" s="31" t="inlineStr">
        <is>
          <t>Microsoft Corp.</t>
        </is>
      </c>
      <c r="C17" s="36" t="inlineStr">
        <is>
          <t>MSFT</t>
        </is>
      </c>
      <c r="D17" s="44" t="inlineStr">
        <is>
          <t>Stocks</t>
        </is>
      </c>
      <c r="E17" s="45" t="n">
        <v>45</v>
      </c>
      <c r="F17" s="74" t="n">
        <v>0.75</v>
      </c>
      <c r="G17" s="48">
        <f>E17*F17</f>
        <v/>
      </c>
      <c r="H17" s="46" t="n">
        <v>5.06</v>
      </c>
      <c r="I17" s="49">
        <f>G17-H17</f>
        <v/>
      </c>
      <c r="J17" s="75">
        <f>IFERROR((G17*4)/('03_Holdings'!L8), 0)</f>
        <v/>
      </c>
      <c r="K17" s="37" t="inlineStr">
        <is>
          <t>Paid to Cash Buffer</t>
        </is>
      </c>
    </row>
    <row r="18" ht="19" customHeight="1">
      <c r="A18" s="44" t="inlineStr">
        <is>
          <t>2024-07-15</t>
        </is>
      </c>
      <c r="B18" s="31" t="inlineStr">
        <is>
          <t>Realty Income Corp.</t>
        </is>
      </c>
      <c r="C18" s="36" t="inlineStr">
        <is>
          <t>O</t>
        </is>
      </c>
      <c r="D18" s="44" t="inlineStr">
        <is>
          <t>REITs</t>
        </is>
      </c>
      <c r="E18" s="45" t="n">
        <v>150</v>
      </c>
      <c r="F18" s="74" t="n">
        <v>0.256</v>
      </c>
      <c r="G18" s="48">
        <f>E18*F18</f>
        <v/>
      </c>
      <c r="H18" s="46" t="n">
        <v>0</v>
      </c>
      <c r="I18" s="49">
        <f>G18-H18</f>
        <v/>
      </c>
      <c r="J18" s="75">
        <f>IFERROR((G18*4)/('03_Holdings'!L8), 0)</f>
        <v/>
      </c>
      <c r="K18" s="37" t="inlineStr">
        <is>
          <t>Reinvested / DRIP</t>
        </is>
      </c>
    </row>
    <row r="19" ht="19" customHeight="1">
      <c r="A19" s="44" t="inlineStr">
        <is>
          <t>2024-08-15</t>
        </is>
      </c>
      <c r="B19" s="31" t="inlineStr">
        <is>
          <t>Realty Income Corp.</t>
        </is>
      </c>
      <c r="C19" s="36" t="inlineStr">
        <is>
          <t>O</t>
        </is>
      </c>
      <c r="D19" s="44" t="inlineStr">
        <is>
          <t>REITs</t>
        </is>
      </c>
      <c r="E19" s="45" t="n">
        <v>150</v>
      </c>
      <c r="F19" s="74" t="n">
        <v>0.256</v>
      </c>
      <c r="G19" s="48">
        <f>E19*F19</f>
        <v/>
      </c>
      <c r="H19" s="46" t="n">
        <v>0</v>
      </c>
      <c r="I19" s="49">
        <f>G19-H19</f>
        <v/>
      </c>
      <c r="J19" s="75">
        <f>IFERROR((G19*4)/('03_Holdings'!L8), 0)</f>
        <v/>
      </c>
      <c r="K19" s="37" t="inlineStr">
        <is>
          <t>Reinvested / DRIP</t>
        </is>
      </c>
    </row>
  </sheetData>
  <mergeCells count="8">
    <mergeCell ref="E6:F6"/>
    <mergeCell ref="C6:D6"/>
    <mergeCell ref="I6:J6"/>
    <mergeCell ref="G6:H6"/>
    <mergeCell ref="K6:L6"/>
    <mergeCell ref="A3:L3"/>
    <mergeCell ref="A6:B6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1" customWidth="1" min="5" max="5"/>
    <col width="11" customWidth="1" min="6" max="6"/>
    <col width="12" customWidth="1" min="7" max="7"/>
    <col width="14" customWidth="1" min="8" max="8"/>
    <col width="16" customWidth="1" min="9" max="9"/>
    <col width="16" customWidth="1" min="10" max="10"/>
    <col width="24" customWidth="1" min="11" max="11"/>
  </cols>
  <sheetData>
    <row r="1" ht="26" customHeight="1">
      <c r="A1" s="2">
        <f>HYPERLINK("#01_Start_Here!A1", "🏠 Start")</f>
        <v/>
      </c>
      <c r="B1" s="2">
        <f>HYPERLINK("#02_Dashboard!A1", "📊 Dashboard")</f>
        <v/>
      </c>
      <c r="C1" s="2">
        <f>HYPERLINK("#03_Holdings!A1", "💼 Holdings")</f>
        <v/>
      </c>
      <c r="D1" s="2">
        <f>HYPERLINK("#04_Transactions!A1", "📑 Ledger")</f>
        <v/>
      </c>
      <c r="E1" s="2">
        <f>HYPERLINK("#05_Performance!A1", "📈 Performance")</f>
        <v/>
      </c>
      <c r="F1" s="2">
        <f>HYPERLINK("#06_Allocation_Risk!A1", "🎯 Allocation")</f>
        <v/>
      </c>
      <c r="G1" s="2">
        <f>HYPERLINK("#07_Dividends_Income!A1", "💰 Dividends")</f>
        <v/>
      </c>
      <c r="H1" s="1">
        <f>HYPERLINK("#08_Goals_SIP!A1", "🎯 Goals")</f>
        <v/>
      </c>
      <c r="I1" s="2">
        <f>HYPERLINK("#09_Rebalancing_Drift!A1", "⚖️ Rebalance")</f>
        <v/>
      </c>
      <c r="J1" s="2">
        <f>HYPERLINK("#10_Scenarios_Freedom!A1", "🚀 What-If")</f>
        <v/>
      </c>
      <c r="K1" s="2">
        <f>HYPERLINK("#11_Reviews_Reports!A1", "📋 Reports")</f>
        <v/>
      </c>
      <c r="L1" s="2">
        <f>HYPERLINK("#12_Investment_Journal!A1", "📓 Journal")</f>
        <v/>
      </c>
      <c r="M1" s="2">
        <f>HYPERLINK("#13_Settings_Assumptions!A1", "⚙️ Settings")</f>
        <v/>
      </c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 ht="32" customHeight="1">
      <c r="A3" s="4" t="inlineStr">
        <is>
          <t xml:space="preserve">  INVESTMENT GOALS &amp; RECURRING SIP TRACKER</t>
        </is>
      </c>
    </row>
    <row r="4" ht="18" customHeight="1">
      <c r="A4" s="5" t="inlineStr">
        <is>
          <t xml:space="preserve">  Financial Milestone Progress, Target Dates, Required Monthly SIP &amp; Execution Compliance</t>
        </is>
      </c>
    </row>
    <row r="5" ht="8" customHeight="1"/>
    <row r="6" ht="20" customHeight="1">
      <c r="A6" s="6" t="inlineStr">
        <is>
          <t>PORTFOLIO GOALS &amp; MILESTONE ROADMAP</t>
        </is>
      </c>
    </row>
    <row r="7" ht="22" customHeight="1">
      <c r="A7" s="30" t="inlineStr">
        <is>
          <t>Goal Name</t>
        </is>
      </c>
      <c r="B7" s="30" t="inlineStr">
        <is>
          <t>Target Amount</t>
        </is>
      </c>
      <c r="C7" s="30" t="inlineStr">
        <is>
          <t>Current Saved</t>
        </is>
      </c>
      <c r="D7" s="30" t="inlineStr">
        <is>
          <t>Target Date</t>
        </is>
      </c>
      <c r="E7" s="30" t="inlineStr">
        <is>
          <t>Years Left</t>
        </is>
      </c>
      <c r="F7" s="30" t="inlineStr">
        <is>
          <t>Priority</t>
        </is>
      </c>
      <c r="G7" s="30" t="inlineStr">
        <is>
          <t>Exp Return</t>
        </is>
      </c>
      <c r="H7" s="30" t="inlineStr">
        <is>
          <t>Progress %</t>
        </is>
      </c>
      <c r="I7" s="30" t="inlineStr">
        <is>
          <t>Req Monthly SIP</t>
        </is>
      </c>
      <c r="J7" s="30" t="inlineStr">
        <is>
          <t>Status</t>
        </is>
      </c>
      <c r="K7" s="30" t="inlineStr">
        <is>
          <t>Action Recommendation</t>
        </is>
      </c>
    </row>
    <row r="8" ht="20" customHeight="1">
      <c r="A8" s="31" t="inlineStr">
        <is>
          <t>Financial Freedom / FIRE</t>
        </is>
      </c>
      <c r="B8" s="58" t="n">
        <v>1200000</v>
      </c>
      <c r="C8" s="57" t="n">
        <v>145000</v>
      </c>
      <c r="D8" s="44" t="inlineStr">
        <is>
          <t>2036-12-31</t>
        </is>
      </c>
      <c r="E8" s="44" t="n">
        <v>10</v>
      </c>
      <c r="F8" s="36" t="inlineStr">
        <is>
          <t>High</t>
        </is>
      </c>
      <c r="G8" s="50" t="n">
        <v>0.09</v>
      </c>
      <c r="H8" s="33">
        <f>IFERROR(C8/B8, 0)</f>
        <v/>
      </c>
      <c r="I8" s="59">
        <f>IFERROR(PMT(G8/12, E8*12, -C8, B8), 0)</f>
        <v/>
      </c>
      <c r="J8" s="36">
        <f>IF(H8&gt;=1, "Completed", IF(H8&gt;=0.4, "On Track", "Needs Attention"))</f>
        <v/>
      </c>
      <c r="K8" s="37">
        <f>"Save " &amp; TEXT(I8, "$#,##0") &amp; "/mo at " &amp; TEXT(G8, "0%") &amp; " CAGR"</f>
        <v/>
      </c>
    </row>
    <row r="9" ht="20" customHeight="1">
      <c r="A9" s="31" t="inlineStr">
        <is>
          <t>Dream Home Down Payment</t>
        </is>
      </c>
      <c r="B9" s="58" t="n">
        <v>250000</v>
      </c>
      <c r="C9" s="57" t="n">
        <v>60000</v>
      </c>
      <c r="D9" s="44" t="inlineStr">
        <is>
          <t>2029-06-30</t>
        </is>
      </c>
      <c r="E9" s="44" t="n">
        <v>3</v>
      </c>
      <c r="F9" s="36" t="inlineStr">
        <is>
          <t>High</t>
        </is>
      </c>
      <c r="G9" s="50" t="n">
        <v>0.07000000000000001</v>
      </c>
      <c r="H9" s="33">
        <f>IFERROR(C9/B9, 0)</f>
        <v/>
      </c>
      <c r="I9" s="59">
        <f>IFERROR(PMT(G9/12, E9*12, -C9, B9), 0)</f>
        <v/>
      </c>
      <c r="J9" s="36">
        <f>IF(H9&gt;=1, "Completed", IF(H9&gt;=0.4, "On Track", "Needs Attention"))</f>
        <v/>
      </c>
      <c r="K9" s="37">
        <f>"Save " &amp; TEXT(I9, "$#,##0") &amp; "/mo at " &amp; TEXT(G9, "0%") &amp; " CAGR"</f>
        <v/>
      </c>
    </row>
    <row r="10" ht="20" customHeight="1">
      <c r="A10" s="31" t="inlineStr">
        <is>
          <t>Child Higher Education Fund</t>
        </is>
      </c>
      <c r="B10" s="58" t="n">
        <v>180000</v>
      </c>
      <c r="C10" s="57" t="n">
        <v>32000</v>
      </c>
      <c r="D10" s="44" t="inlineStr">
        <is>
          <t>2034-08-31</t>
        </is>
      </c>
      <c r="E10" s="44" t="n">
        <v>8</v>
      </c>
      <c r="F10" s="36" t="inlineStr">
        <is>
          <t>Medium</t>
        </is>
      </c>
      <c r="G10" s="50" t="n">
        <v>0.08</v>
      </c>
      <c r="H10" s="33">
        <f>IFERROR(C10/B10, 0)</f>
        <v/>
      </c>
      <c r="I10" s="59">
        <f>IFERROR(PMT(G10/12, E10*12, -C10, B10), 0)</f>
        <v/>
      </c>
      <c r="J10" s="36">
        <f>IF(H10&gt;=1, "Completed", IF(H10&gt;=0.4, "On Track", "Needs Attention"))</f>
        <v/>
      </c>
      <c r="K10" s="37">
        <f>"Save " &amp; TEXT(I10, "$#,##0") &amp; "/mo at " &amp; TEXT(G10, "0%") &amp; " CAGR"</f>
        <v/>
      </c>
    </row>
    <row r="11" ht="20" customHeight="1">
      <c r="A11" s="31" t="inlineStr">
        <is>
          <t>Emergency Ballast Fund</t>
        </is>
      </c>
      <c r="B11" s="58" t="n">
        <v>50000</v>
      </c>
      <c r="C11" s="57" t="n">
        <v>25000</v>
      </c>
      <c r="D11" s="44" t="inlineStr">
        <is>
          <t>2027-12-31</t>
        </is>
      </c>
      <c r="E11" s="44" t="n">
        <v>1.5</v>
      </c>
      <c r="F11" s="36" t="inlineStr">
        <is>
          <t>Crucial</t>
        </is>
      </c>
      <c r="G11" s="50" t="n">
        <v>0.05</v>
      </c>
      <c r="H11" s="33">
        <f>IFERROR(C11/B11, 0)</f>
        <v/>
      </c>
      <c r="I11" s="59">
        <f>IFERROR(PMT(G11/12, E11*12, -C11, B11), 0)</f>
        <v/>
      </c>
      <c r="J11" s="36">
        <f>IF(H11&gt;=1, "Completed", IF(H11&gt;=0.4, "On Track", "Needs Attention"))</f>
        <v/>
      </c>
      <c r="K11" s="37">
        <f>"Save " &amp; TEXT(I11, "$#,##0") &amp; "/mo at " &amp; TEXT(G11, "0%") &amp; " CAGR"</f>
        <v/>
      </c>
    </row>
    <row r="12" ht="20" customHeight="1">
      <c r="A12" s="31" t="inlineStr">
        <is>
          <t>Luxury Sabbatical / World Trip</t>
        </is>
      </c>
      <c r="B12" s="58" t="n">
        <v>35000</v>
      </c>
      <c r="C12" s="57" t="n">
        <v>12000</v>
      </c>
      <c r="D12" s="44" t="inlineStr">
        <is>
          <t>2028-05-31</t>
        </is>
      </c>
      <c r="E12" s="44" t="n">
        <v>2</v>
      </c>
      <c r="F12" s="36" t="inlineStr">
        <is>
          <t>Low</t>
        </is>
      </c>
      <c r="G12" s="50" t="n">
        <v>0.07000000000000001</v>
      </c>
      <c r="H12" s="33">
        <f>IFERROR(C12/B12, 0)</f>
        <v/>
      </c>
      <c r="I12" s="59">
        <f>IFERROR(PMT(G12/12, E12*12, -C12, B12), 0)</f>
        <v/>
      </c>
      <c r="J12" s="36">
        <f>IF(H12&gt;=1, "Completed", IF(H12&gt;=0.4, "On Track", "Needs Attention"))</f>
        <v/>
      </c>
      <c r="K12" s="37">
        <f>"Save " &amp; TEXT(I12, "$#,##0") &amp; "/mo at " &amp; TEXT(G12, "0%") &amp; " CAGR"</f>
        <v/>
      </c>
    </row>
    <row r="15" ht="20" customHeight="1">
      <c r="A15" s="6" t="inlineStr">
        <is>
          <t>MONTHLY SIP CONTRIBUTION EXECUTION &amp; COMPLIANCE</t>
        </is>
      </c>
    </row>
    <row r="16" ht="22" customHeight="1">
      <c r="A16" s="30" t="inlineStr">
        <is>
          <t>Month</t>
        </is>
      </c>
      <c r="B16" s="30" t="inlineStr">
        <is>
          <t>Planned Contribution</t>
        </is>
      </c>
      <c r="C16" s="30" t="inlineStr">
        <is>
          <t>Actual Invested</t>
        </is>
      </c>
      <c r="D16" s="30" t="inlineStr">
        <is>
          <t>Difference ($)</t>
        </is>
      </c>
      <c r="E16" s="30" t="inlineStr">
        <is>
          <t>Variance %</t>
        </is>
      </c>
      <c r="F16" s="30" t="inlineStr">
        <is>
          <t>Execution Status</t>
        </is>
      </c>
      <c r="G16" s="30" t="inlineStr">
        <is>
          <t>Notes</t>
        </is>
      </c>
    </row>
    <row r="17" ht="19" customHeight="1">
      <c r="A17" s="36" t="inlineStr">
        <is>
          <t>Jan 2026</t>
        </is>
      </c>
      <c r="B17" s="57" t="n">
        <v>2500</v>
      </c>
      <c r="C17" s="58" t="n">
        <v>2500</v>
      </c>
      <c r="D17" s="59">
        <f>C17-B17</f>
        <v/>
      </c>
      <c r="E17" s="75">
        <f>IFERROR(D17/B17, 0)</f>
        <v/>
      </c>
      <c r="F17" s="36">
        <f>IF(D17&gt;=0, "100% Compliant", "Underfunded")</f>
        <v/>
      </c>
      <c r="G17" s="37" t="inlineStr">
        <is>
          <t>Fully funded</t>
        </is>
      </c>
    </row>
    <row r="18" ht="19" customHeight="1">
      <c r="A18" s="36" t="inlineStr">
        <is>
          <t>Feb 2026</t>
        </is>
      </c>
      <c r="B18" s="57" t="n">
        <v>2500</v>
      </c>
      <c r="C18" s="58" t="n">
        <v>2500</v>
      </c>
      <c r="D18" s="59">
        <f>C18-B18</f>
        <v/>
      </c>
      <c r="E18" s="75">
        <f>IFERROR(D18/B18, 0)</f>
        <v/>
      </c>
      <c r="F18" s="36">
        <f>IF(D18&gt;=0, "100% Compliant", "Underfunded")</f>
        <v/>
      </c>
      <c r="G18" s="37" t="inlineStr">
        <is>
          <t>Fully funded</t>
        </is>
      </c>
    </row>
    <row r="19" ht="19" customHeight="1">
      <c r="A19" s="36" t="inlineStr">
        <is>
          <t>Mar 2026</t>
        </is>
      </c>
      <c r="B19" s="57" t="n">
        <v>2500</v>
      </c>
      <c r="C19" s="58" t="n">
        <v>2750</v>
      </c>
      <c r="D19" s="59">
        <f>C19-B19</f>
        <v/>
      </c>
      <c r="E19" s="75">
        <f>IFERROR(D19/B19, 0)</f>
        <v/>
      </c>
      <c r="F19" s="36">
        <f>IF(D19&gt;=0, "100% Compliant", "Underfunded")</f>
        <v/>
      </c>
      <c r="G19" s="37" t="inlineStr">
        <is>
          <t>Extra bonus allocation</t>
        </is>
      </c>
    </row>
    <row r="20" ht="19" customHeight="1">
      <c r="A20" s="36" t="inlineStr">
        <is>
          <t>Apr 2026</t>
        </is>
      </c>
      <c r="B20" s="57" t="n">
        <v>2500</v>
      </c>
      <c r="C20" s="58" t="n">
        <v>2000</v>
      </c>
      <c r="D20" s="59">
        <f>C20-B20</f>
        <v/>
      </c>
      <c r="E20" s="75">
        <f>IFERROR(D20/B20, 0)</f>
        <v/>
      </c>
      <c r="F20" s="36">
        <f>IF(D20&gt;=0, "100% Compliant", "Underfunded")</f>
        <v/>
      </c>
      <c r="G20" s="37" t="inlineStr">
        <is>
          <t>Vehicle maintenance expense</t>
        </is>
      </c>
    </row>
    <row r="21" ht="19" customHeight="1">
      <c r="A21" s="36" t="inlineStr">
        <is>
          <t>May 2026</t>
        </is>
      </c>
      <c r="B21" s="57" t="n">
        <v>2500</v>
      </c>
      <c r="C21" s="58" t="n">
        <v>2500</v>
      </c>
      <c r="D21" s="59">
        <f>C21-B21</f>
        <v/>
      </c>
      <c r="E21" s="75">
        <f>IFERROR(D21/B21, 0)</f>
        <v/>
      </c>
      <c r="F21" s="36">
        <f>IF(D21&gt;=0, "100% Compliant", "Underfunded")</f>
        <v/>
      </c>
      <c r="G21" s="37" t="inlineStr">
        <is>
          <t>Fully funded</t>
        </is>
      </c>
    </row>
    <row r="22" ht="19" customHeight="1">
      <c r="A22" s="36" t="inlineStr">
        <is>
          <t>Jun 2026</t>
        </is>
      </c>
      <c r="B22" s="57" t="n">
        <v>2500</v>
      </c>
      <c r="C22" s="58" t="n">
        <v>3000</v>
      </c>
      <c r="D22" s="59">
        <f>C22-B22</f>
        <v/>
      </c>
      <c r="E22" s="75">
        <f>IFERROR(D22/B22, 0)</f>
        <v/>
      </c>
      <c r="F22" s="36">
        <f>IF(D22&gt;=0, "100% Compliant", "Underfunded")</f>
        <v/>
      </c>
      <c r="G22" s="37" t="inlineStr">
        <is>
          <t>Quarterly incentive contribution</t>
        </is>
      </c>
    </row>
    <row r="23" ht="19" customHeight="1">
      <c r="A23" s="36" t="inlineStr">
        <is>
          <t>Jul 2026</t>
        </is>
      </c>
      <c r="B23" s="57" t="n">
        <v>2500</v>
      </c>
      <c r="C23" s="58" t="n">
        <v>2500</v>
      </c>
      <c r="D23" s="59">
        <f>C23-B23</f>
        <v/>
      </c>
      <c r="E23" s="75">
        <f>IFERROR(D23/B23, 0)</f>
        <v/>
      </c>
      <c r="F23" s="36">
        <f>IF(D23&gt;=0, "100% Compliant", "Underfunded")</f>
        <v/>
      </c>
      <c r="G23" s="37" t="inlineStr">
        <is>
          <t>Fully funded</t>
        </is>
      </c>
    </row>
    <row r="24" ht="19" customHeight="1">
      <c r="A24" s="36" t="inlineStr">
        <is>
          <t>Aug 2026</t>
        </is>
      </c>
      <c r="B24" s="57" t="n">
        <v>2500</v>
      </c>
      <c r="C24" s="58" t="n">
        <v>2500</v>
      </c>
      <c r="D24" s="59">
        <f>C24-B24</f>
        <v/>
      </c>
      <c r="E24" s="75">
        <f>IFERROR(D24/B24, 0)</f>
        <v/>
      </c>
      <c r="F24" s="36">
        <f>IF(D24&gt;=0, "100% Compliant", "Underfunded")</f>
        <v/>
      </c>
      <c r="G24" s="37" t="inlineStr">
        <is>
          <t>Fully funded</t>
        </is>
      </c>
    </row>
    <row r="25" ht="19" customHeight="1">
      <c r="A25" s="36" t="inlineStr">
        <is>
          <t>Sep 2026</t>
        </is>
      </c>
      <c r="B25" s="57" t="n">
        <v>2500</v>
      </c>
      <c r="C25" s="58" t="n">
        <v>2500</v>
      </c>
      <c r="D25" s="59">
        <f>C25-B25</f>
        <v/>
      </c>
      <c r="E25" s="75">
        <f>IFERROR(D25/B25, 0)</f>
        <v/>
      </c>
      <c r="F25" s="36">
        <f>IF(D25&gt;=0, "100% Compliant", "Underfunded")</f>
        <v/>
      </c>
      <c r="G25" s="37" t="inlineStr">
        <is>
          <t>Fully funded</t>
        </is>
      </c>
    </row>
  </sheetData>
  <mergeCells count="4">
    <mergeCell ref="A3:L3"/>
    <mergeCell ref="A6:K6"/>
    <mergeCell ref="A15:G15"/>
    <mergeCell ref="A4:L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8" customWidth="1" min="8" max="8"/>
    <col width="20" customWidth="1" min="9" max="9"/>
    <col width="16" customWidth="1" min="10" max="10"/>
    <col width="24" customWidth="1" min="11" max="11"/>
  </cols>
  <sheetData>
    <row r="1" ht="26" customHeight="1">
      <c r="A1" s="2">
        <f>HYPERLINK("#01_Start_Here!A1", "🏠 Start")</f>
        <v/>
      </c>
      <c r="B1" s="2">
        <f>HYPERLINK("#02_Dashboard!A1", "📊 Dashboard")</f>
        <v/>
      </c>
      <c r="C1" s="2">
        <f>HYPERLINK("#03_Holdings!A1", "💼 Holdings")</f>
        <v/>
      </c>
      <c r="D1" s="2">
        <f>HYPERLINK("#04_Transactions!A1", "📑 Ledger")</f>
        <v/>
      </c>
      <c r="E1" s="2">
        <f>HYPERLINK("#05_Performance!A1", "📈 Performance")</f>
        <v/>
      </c>
      <c r="F1" s="2">
        <f>HYPERLINK("#06_Allocation_Risk!A1", "🎯 Allocation")</f>
        <v/>
      </c>
      <c r="G1" s="2">
        <f>HYPERLINK("#07_Dividends_Income!A1", "💰 Dividends")</f>
        <v/>
      </c>
      <c r="H1" s="2">
        <f>HYPERLINK("#08_Goals_SIP!A1", "🎯 Goals")</f>
        <v/>
      </c>
      <c r="I1" s="1">
        <f>HYPERLINK("#09_Rebalancing_Drift!A1", "⚖️ Rebalance")</f>
        <v/>
      </c>
      <c r="J1" s="2">
        <f>HYPERLINK("#10_Scenarios_Freedom!A1", "🚀 What-If")</f>
        <v/>
      </c>
      <c r="K1" s="2">
        <f>HYPERLINK("#11_Reviews_Reports!A1", "📋 Reports")</f>
        <v/>
      </c>
      <c r="L1" s="2">
        <f>HYPERLINK("#12_Investment_Journal!A1", "📓 Journal")</f>
        <v/>
      </c>
      <c r="M1" s="2">
        <f>HYPERLINK("#13_Settings_Assumptions!A1", "⚙️ Settings")</f>
        <v/>
      </c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32" customHeight="1">
      <c r="A3" s="4" t="inlineStr">
        <is>
          <t xml:space="preserve">  AUTOMATED PORTFOLIO REBALANCING ENGINE</t>
        </is>
      </c>
    </row>
    <row r="4" ht="18" customHeight="1">
      <c r="A4" s="5" t="inlineStr">
        <is>
          <t xml:space="preserve">  Drift Tolerance Bands, Tax-Efficient Buy/Sell Guidance &amp; Fresh Cash Allocator</t>
        </is>
      </c>
    </row>
    <row r="5" ht="8" customHeight="1"/>
    <row r="6" ht="22" customHeight="1">
      <c r="A6" s="51" t="inlineStr">
        <is>
          <t>ACCEPTABLE ALLOCATION DRIFT BAND</t>
        </is>
      </c>
      <c r="D6" s="76" t="n">
        <v>0.05</v>
      </c>
      <c r="E6" s="77" t="inlineStr">
        <is>
          <t>Positions drifting more than ±5.0% from target will trigger a 'Rebalance Alert' warning.</t>
        </is>
      </c>
    </row>
    <row r="8" ht="24" customHeight="1">
      <c r="A8" s="30" t="inlineStr">
        <is>
          <t>Asset Class</t>
        </is>
      </c>
      <c r="B8" s="30" t="inlineStr">
        <is>
          <t>Current Value</t>
        </is>
      </c>
      <c r="C8" s="30" t="inlineStr">
        <is>
          <t>Current %</t>
        </is>
      </c>
      <c r="D8" s="30" t="inlineStr">
        <is>
          <t>Target %</t>
        </is>
      </c>
      <c r="E8" s="30" t="inlineStr">
        <is>
          <t>Drift %</t>
        </is>
      </c>
      <c r="F8" s="30" t="inlineStr">
        <is>
          <t>Target Value ($)</t>
        </is>
      </c>
      <c r="G8" s="30" t="inlineStr">
        <is>
          <t>Action</t>
        </is>
      </c>
      <c r="H8" s="30" t="inlineStr">
        <is>
          <t>Rebalance Amount</t>
        </is>
      </c>
      <c r="I8" s="30" t="inlineStr">
        <is>
          <t>Smart Cash Inflow Buy</t>
        </is>
      </c>
      <c r="J8" s="30" t="inlineStr">
        <is>
          <t>Drift Status</t>
        </is>
      </c>
      <c r="K8" s="30" t="inlineStr">
        <is>
          <t>Planning Guidance</t>
        </is>
      </c>
    </row>
    <row r="9" ht="20" customHeight="1">
      <c r="A9" s="31" t="inlineStr">
        <is>
          <t>Stocks (Equities)</t>
        </is>
      </c>
      <c r="B9" s="32">
        <f>'06_Allocation_Risk'!B8</f>
        <v/>
      </c>
      <c r="C9" s="33">
        <f>'06_Allocation_Risk'!C8</f>
        <v/>
      </c>
      <c r="D9" s="34">
        <f>'06_Allocation_Risk'!D8</f>
        <v/>
      </c>
      <c r="E9" s="35">
        <f>C9-D9</f>
        <v/>
      </c>
      <c r="F9" s="32">
        <f>D9*'03_Holdings'!$M$6</f>
        <v/>
      </c>
      <c r="G9" s="36">
        <f>IF(ABS(E9)&lt;=$D$6, "HOLD", IF(E9&gt;0, "SELL", "BUY"))</f>
        <v/>
      </c>
      <c r="H9" s="59">
        <f>F9-B9</f>
        <v/>
      </c>
      <c r="I9" s="32">
        <f>IF(H9&gt;0, H9, 0)</f>
        <v/>
      </c>
      <c r="J9" s="36">
        <f>IF(ABS(E9)&lt;=$D$6, "Within Target", IF(ABS(E9)&lt;=0.08, "Monitor", "Rebalance Alert"))</f>
        <v/>
      </c>
      <c r="K9" s="37">
        <f>IF(G9="SELL", "Consider trimming or directing new cash elsewhere", IF(G9="BUY", "Deploy new savings to restore balance", "Target weight on schedule"))</f>
        <v/>
      </c>
    </row>
    <row r="10" ht="20" customHeight="1">
      <c r="A10" s="31" t="inlineStr">
        <is>
          <t>ETFs &amp; Index Funds</t>
        </is>
      </c>
      <c r="B10" s="32">
        <f>'06_Allocation_Risk'!B9</f>
        <v/>
      </c>
      <c r="C10" s="33">
        <f>'06_Allocation_Risk'!C9</f>
        <v/>
      </c>
      <c r="D10" s="34">
        <f>'06_Allocation_Risk'!D9</f>
        <v/>
      </c>
      <c r="E10" s="35">
        <f>C10-D10</f>
        <v/>
      </c>
      <c r="F10" s="32">
        <f>D10*'03_Holdings'!$M$6</f>
        <v/>
      </c>
      <c r="G10" s="36">
        <f>IF(ABS(E10)&lt;=$D$6, "HOLD", IF(E10&gt;0, "SELL", "BUY"))</f>
        <v/>
      </c>
      <c r="H10" s="59">
        <f>F10-B10</f>
        <v/>
      </c>
      <c r="I10" s="32">
        <f>IF(H10&gt;0, H10, 0)</f>
        <v/>
      </c>
      <c r="J10" s="36">
        <f>IF(ABS(E10)&lt;=$D$6, "Within Target", IF(ABS(E10)&lt;=0.08, "Monitor", "Rebalance Alert"))</f>
        <v/>
      </c>
      <c r="K10" s="37">
        <f>IF(G10="SELL", "Consider trimming or directing new cash elsewhere", IF(G10="BUY", "Deploy new savings to restore balance", "Target weight on schedule"))</f>
        <v/>
      </c>
    </row>
    <row r="11" ht="20" customHeight="1">
      <c r="A11" s="31" t="inlineStr">
        <is>
          <t>Fixed Income / Bonds</t>
        </is>
      </c>
      <c r="B11" s="32">
        <f>'06_Allocation_Risk'!B10</f>
        <v/>
      </c>
      <c r="C11" s="33">
        <f>'06_Allocation_Risk'!C10</f>
        <v/>
      </c>
      <c r="D11" s="34">
        <f>'06_Allocation_Risk'!D10</f>
        <v/>
      </c>
      <c r="E11" s="35">
        <f>C11-D11</f>
        <v/>
      </c>
      <c r="F11" s="32">
        <f>D11*'03_Holdings'!$M$6</f>
        <v/>
      </c>
      <c r="G11" s="36">
        <f>IF(ABS(E11)&lt;=$D$6, "HOLD", IF(E11&gt;0, "SELL", "BUY"))</f>
        <v/>
      </c>
      <c r="H11" s="59">
        <f>F11-B11</f>
        <v/>
      </c>
      <c r="I11" s="32">
        <f>IF(H11&gt;0, H11, 0)</f>
        <v/>
      </c>
      <c r="J11" s="36">
        <f>IF(ABS(E11)&lt;=$D$6, "Within Target", IF(ABS(E11)&lt;=0.08, "Monitor", "Rebalance Alert"))</f>
        <v/>
      </c>
      <c r="K11" s="37">
        <f>IF(G11="SELL", "Consider trimming or directing new cash elsewhere", IF(G11="BUY", "Deploy new savings to restore balance", "Target weight on schedule"))</f>
        <v/>
      </c>
    </row>
    <row r="12" ht="20" customHeight="1">
      <c r="A12" s="31" t="inlineStr">
        <is>
          <t>Real Estate (REITs)</t>
        </is>
      </c>
      <c r="B12" s="32">
        <f>'06_Allocation_Risk'!B11</f>
        <v/>
      </c>
      <c r="C12" s="33">
        <f>'06_Allocation_Risk'!C11</f>
        <v/>
      </c>
      <c r="D12" s="34">
        <f>'06_Allocation_Risk'!D11</f>
        <v/>
      </c>
      <c r="E12" s="35">
        <f>C12-D12</f>
        <v/>
      </c>
      <c r="F12" s="32">
        <f>D12*'03_Holdings'!$M$6</f>
        <v/>
      </c>
      <c r="G12" s="36">
        <f>IF(ABS(E12)&lt;=$D$6, "HOLD", IF(E12&gt;0, "SELL", "BUY"))</f>
        <v/>
      </c>
      <c r="H12" s="59">
        <f>F12-B12</f>
        <v/>
      </c>
      <c r="I12" s="32">
        <f>IF(H12&gt;0, H12, 0)</f>
        <v/>
      </c>
      <c r="J12" s="36">
        <f>IF(ABS(E12)&lt;=$D$6, "Within Target", IF(ABS(E12)&lt;=0.08, "Monitor", "Rebalance Alert"))</f>
        <v/>
      </c>
      <c r="K12" s="37">
        <f>IF(G12="SELL", "Consider trimming or directing new cash elsewhere", IF(G12="BUY", "Deploy new savings to restore balance", "Target weight on schedule"))</f>
        <v/>
      </c>
    </row>
    <row r="13" ht="20" customHeight="1">
      <c r="A13" s="31" t="inlineStr">
        <is>
          <t>Gold &amp; Commodities</t>
        </is>
      </c>
      <c r="B13" s="32">
        <f>'06_Allocation_Risk'!B12</f>
        <v/>
      </c>
      <c r="C13" s="33">
        <f>'06_Allocation_Risk'!C12</f>
        <v/>
      </c>
      <c r="D13" s="34">
        <f>'06_Allocation_Risk'!D12</f>
        <v/>
      </c>
      <c r="E13" s="35">
        <f>C13-D13</f>
        <v/>
      </c>
      <c r="F13" s="32">
        <f>D13*'03_Holdings'!$M$6</f>
        <v/>
      </c>
      <c r="G13" s="36">
        <f>IF(ABS(E13)&lt;=$D$6, "HOLD", IF(E13&gt;0, "SELL", "BUY"))</f>
        <v/>
      </c>
      <c r="H13" s="59">
        <f>F13-B13</f>
        <v/>
      </c>
      <c r="I13" s="32">
        <f>IF(H13&gt;0, H13, 0)</f>
        <v/>
      </c>
      <c r="J13" s="36">
        <f>IF(ABS(E13)&lt;=$D$6, "Within Target", IF(ABS(E13)&lt;=0.08, "Monitor", "Rebalance Alert"))</f>
        <v/>
      </c>
      <c r="K13" s="37">
        <f>IF(G13="SELL", "Consider trimming or directing new cash elsewhere", IF(G13="BUY", "Deploy new savings to restore balance", "Target weight on schedule"))</f>
        <v/>
      </c>
    </row>
    <row r="14" ht="20" customHeight="1">
      <c r="A14" s="31" t="inlineStr">
        <is>
          <t>Cash &amp; Equivalents</t>
        </is>
      </c>
      <c r="B14" s="32">
        <f>'06_Allocation_Risk'!B13</f>
        <v/>
      </c>
      <c r="C14" s="33">
        <f>'06_Allocation_Risk'!C13</f>
        <v/>
      </c>
      <c r="D14" s="34">
        <f>'06_Allocation_Risk'!D13</f>
        <v/>
      </c>
      <c r="E14" s="35">
        <f>C14-D14</f>
        <v/>
      </c>
      <c r="F14" s="32">
        <f>D14*'03_Holdings'!$M$6</f>
        <v/>
      </c>
      <c r="G14" s="36">
        <f>IF(ABS(E14)&lt;=$D$6, "HOLD", IF(E14&gt;0, "SELL", "BUY"))</f>
        <v/>
      </c>
      <c r="H14" s="59">
        <f>F14-B14</f>
        <v/>
      </c>
      <c r="I14" s="32">
        <f>IF(H14&gt;0, H14, 0)</f>
        <v/>
      </c>
      <c r="J14" s="36">
        <f>IF(ABS(E14)&lt;=$D$6, "Within Target", IF(ABS(E14)&lt;=0.08, "Monitor", "Rebalance Alert"))</f>
        <v/>
      </c>
      <c r="K14" s="37">
        <f>IF(G14="SELL", "Consider trimming or directing new cash elsewhere", IF(G14="BUY", "Deploy new savings to restore balance", "Target weight on schedule"))</f>
        <v/>
      </c>
    </row>
    <row r="15" ht="22" customHeight="1">
      <c r="A15" s="62" t="inlineStr">
        <is>
          <t>PORTFOLIO TOTAL</t>
        </is>
      </c>
      <c r="B15" s="65">
        <f>SUM(B9:B14)</f>
        <v/>
      </c>
      <c r="C15" s="66">
        <f>SUM(C9:C14)</f>
        <v/>
      </c>
      <c r="D15" s="66">
        <f>SUM(D9:D14)</f>
        <v/>
      </c>
      <c r="E15" s="67">
        <f>SUM(E9:E14)</f>
        <v/>
      </c>
      <c r="F15" s="65">
        <f>SUM(F9:F14)</f>
        <v/>
      </c>
      <c r="G15" s="78" t="inlineStr">
        <is>
          <t>-</t>
        </is>
      </c>
      <c r="H15" s="65">
        <f>SUM(H9:H14)</f>
        <v/>
      </c>
      <c r="I15" s="65">
        <f>SUM(I9:I14)</f>
        <v/>
      </c>
      <c r="J15" s="78" t="inlineStr">
        <is>
          <t>-</t>
        </is>
      </c>
      <c r="K15" s="79" t="inlineStr">
        <is>
          <t>Net Trade Delta Reconciled</t>
        </is>
      </c>
    </row>
  </sheetData>
  <mergeCells count="4">
    <mergeCell ref="E6:K6"/>
    <mergeCell ref="A4:K4"/>
    <mergeCell ref="A6:C6"/>
    <mergeCell ref="A3:K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8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6" customHeight="1">
      <c r="A1" s="2">
        <f>HYPERLINK("#01_Start_Here!A1", "🏠 Start")</f>
        <v/>
      </c>
      <c r="B1" s="2">
        <f>HYPERLINK("#02_Dashboard!A1", "📊 Dashboard")</f>
        <v/>
      </c>
      <c r="C1" s="2">
        <f>HYPERLINK("#03_Holdings!A1", "💼 Holdings")</f>
        <v/>
      </c>
      <c r="D1" s="2">
        <f>HYPERLINK("#04_Transactions!A1", "📑 Ledger")</f>
        <v/>
      </c>
      <c r="E1" s="2">
        <f>HYPERLINK("#05_Performance!A1", "📈 Performance")</f>
        <v/>
      </c>
      <c r="F1" s="2">
        <f>HYPERLINK("#06_Allocation_Risk!A1", "🎯 Allocation")</f>
        <v/>
      </c>
      <c r="G1" s="2">
        <f>HYPERLINK("#07_Dividends_Income!A1", "💰 Dividends")</f>
        <v/>
      </c>
      <c r="H1" s="2">
        <f>HYPERLINK("#08_Goals_SIP!A1", "🎯 Goals")</f>
        <v/>
      </c>
      <c r="I1" s="2">
        <f>HYPERLINK("#09_Rebalancing_Drift!A1", "⚖️ Rebalance")</f>
        <v/>
      </c>
      <c r="J1" s="1">
        <f>HYPERLINK("#10_Scenarios_Freedom!A1", "🚀 What-If")</f>
        <v/>
      </c>
      <c r="K1" s="2">
        <f>HYPERLINK("#11_Reviews_Reports!A1", "📋 Reports")</f>
        <v/>
      </c>
      <c r="L1" s="2">
        <f>HYPERLINK("#12_Investment_Journal!A1", "📓 Journal")</f>
        <v/>
      </c>
      <c r="M1" s="2">
        <f>HYPERLINK("#13_Settings_Assumptions!A1", "⚙️ Settings")</f>
        <v/>
      </c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 ht="32" customHeight="1">
      <c r="A3" s="4" t="inlineStr">
        <is>
          <t xml:space="preserve">  WHAT-IF SCENARIO SIMULATOR &amp; FIRE FINANCIAL FREEDOM PLANNER</t>
        </is>
      </c>
    </row>
    <row r="4" ht="18" customHeight="1">
      <c r="A4" s="5" t="inlineStr">
        <is>
          <t xml:space="preserve">  Long-Term Wealth Compounding Engine, Safe Withdrawal Rates &amp; Retirement Freedom Runway</t>
        </is>
      </c>
    </row>
    <row r="5" ht="8" customHeight="1"/>
    <row r="6" ht="20" customHeight="1">
      <c r="A6" s="6" t="inlineStr">
        <is>
          <t>30-YEAR WEALTH COMPOUNDING SCENARIO COMPARISON</t>
        </is>
      </c>
      <c r="G6" s="6" t="inlineStr">
        <is>
          <t>FINANCIAL FREEDOM (FIRE) CALCULATOR</t>
        </is>
      </c>
    </row>
    <row r="7" ht="22" customHeight="1">
      <c r="A7" s="30" t="inlineStr">
        <is>
          <t>Parameter / Horizon</t>
        </is>
      </c>
      <c r="B7" s="30" t="inlineStr">
        <is>
          <t>Scenario A: Baseline</t>
        </is>
      </c>
      <c r="C7" s="30" t="inlineStr">
        <is>
          <t>Scenario B: Double Savings</t>
        </is>
      </c>
      <c r="D7" s="30" t="inlineStr">
        <is>
          <t>Scenario C: High Growth</t>
        </is>
      </c>
      <c r="E7" s="30" t="inlineStr">
        <is>
          <t>Scenario D: Defensive</t>
        </is>
      </c>
      <c r="G7" s="30" t="inlineStr">
        <is>
          <t>Parameter</t>
        </is>
      </c>
      <c r="H7" s="30" t="inlineStr">
        <is>
          <t>Value</t>
        </is>
      </c>
      <c r="I7" s="30" t="inlineStr">
        <is>
          <t>Notes &amp; Methodology</t>
        </is>
      </c>
      <c r="J7" s="80" t="n"/>
      <c r="K7" s="81" t="n"/>
    </row>
    <row r="8" ht="19" customHeight="1">
      <c r="A8" s="31" t="inlineStr">
        <is>
          <t>Initial Investment ($)</t>
        </is>
      </c>
      <c r="B8" s="57" t="n">
        <v>50000</v>
      </c>
      <c r="C8" s="57" t="n">
        <v>50000</v>
      </c>
      <c r="D8" s="57" t="n">
        <v>50000</v>
      </c>
      <c r="E8" s="57" t="n">
        <v>50000</v>
      </c>
      <c r="G8" s="31" t="inlineStr">
        <is>
          <t>Desired Annual Living Expenses</t>
        </is>
      </c>
      <c r="H8" s="58" t="n">
        <v>60000</v>
      </c>
      <c r="I8" s="82" t="inlineStr">
        <is>
          <t>Annual spending budget in retirement</t>
        </is>
      </c>
    </row>
    <row r="9" ht="19" customHeight="1">
      <c r="A9" s="31" t="inlineStr">
        <is>
          <t>Monthly Contribution ($)</t>
        </is>
      </c>
      <c r="B9" s="57" t="n">
        <v>1000</v>
      </c>
      <c r="C9" s="57" t="n">
        <v>2000</v>
      </c>
      <c r="D9" s="57" t="n">
        <v>1000</v>
      </c>
      <c r="E9" s="57" t="n">
        <v>1000</v>
      </c>
      <c r="G9" s="31" t="inlineStr">
        <is>
          <t>Safe Withdrawal Rate (SWR)</t>
        </is>
      </c>
      <c r="H9" s="83" t="n">
        <v>0.04</v>
      </c>
      <c r="I9" s="82" t="inlineStr">
        <is>
          <t>Standard 4% Trinity study rule</t>
        </is>
      </c>
    </row>
    <row r="10" ht="19" customHeight="1">
      <c r="A10" s="31" t="inlineStr">
        <is>
          <t>Expected Annual Return</t>
        </is>
      </c>
      <c r="B10" s="50" t="n">
        <v>0.08</v>
      </c>
      <c r="C10" s="50" t="n">
        <v>0.08</v>
      </c>
      <c r="D10" s="50" t="n">
        <v>0.1</v>
      </c>
      <c r="E10" s="50" t="n">
        <v>0.06</v>
      </c>
      <c r="G10" s="31" t="inlineStr">
        <is>
          <t>Freedom Target Portfolio Number</t>
        </is>
      </c>
      <c r="H10" s="59">
        <f>H8/H9</f>
        <v/>
      </c>
      <c r="I10" s="82" t="inlineStr">
        <is>
          <t>Total net portfolio needed for financial independence</t>
        </is>
      </c>
    </row>
    <row r="11" ht="19" customHeight="1">
      <c r="A11" s="31" t="inlineStr">
        <is>
          <t>Inflation Assumption</t>
        </is>
      </c>
      <c r="B11" s="50" t="n">
        <v>0.03</v>
      </c>
      <c r="C11" s="50" t="n">
        <v>0.03</v>
      </c>
      <c r="D11" s="50" t="n">
        <v>0.03</v>
      </c>
      <c r="E11" s="50" t="n">
        <v>0.03</v>
      </c>
      <c r="G11" s="31" t="inlineStr">
        <is>
          <t>Current Liquid Portfolio Value</t>
        </is>
      </c>
      <c r="H11" s="59">
        <f>'03_Holdings'!M6</f>
        <v/>
      </c>
      <c r="I11" s="82" t="inlineStr">
        <is>
          <t>Current invested capital</t>
        </is>
      </c>
    </row>
    <row r="12" ht="19" customHeight="1">
      <c r="A12" s="31" t="inlineStr">
        <is>
          <t>Projected Value: Year 5</t>
        </is>
      </c>
      <c r="B12" s="59">
        <f>-FV(B10/12, 5*12, B9, B8)</f>
        <v/>
      </c>
      <c r="C12" s="59">
        <f>-FV(C10/12, 5*12, C9, C8)</f>
        <v/>
      </c>
      <c r="D12" s="59">
        <f>-FV(D10/12, 5*12, D9, D8)</f>
        <v/>
      </c>
      <c r="E12" s="59">
        <f>-FV(E10/12, 5*12, E9, E8)</f>
        <v/>
      </c>
      <c r="G12" s="31" t="inlineStr">
        <is>
          <t>Remaining Gap to Freedom</t>
        </is>
      </c>
      <c r="H12" s="59">
        <f>MAX(0, H10-H11)</f>
        <v/>
      </c>
      <c r="I12" s="82" t="inlineStr">
        <is>
          <t>Capital shortfall to bridge</t>
        </is>
      </c>
    </row>
    <row r="13" ht="19" customHeight="1">
      <c r="A13" s="31" t="inlineStr">
        <is>
          <t>Projected Value: Year 10</t>
        </is>
      </c>
      <c r="B13" s="59">
        <f>-FV(B10/12, 10*12, B9, B8)</f>
        <v/>
      </c>
      <c r="C13" s="59">
        <f>-FV(C10/12, 10*12, C9, C8)</f>
        <v/>
      </c>
      <c r="D13" s="59">
        <f>-FV(D10/12, 10*12, D9, D8)</f>
        <v/>
      </c>
      <c r="E13" s="59">
        <f>-FV(E10/12, 10*12, E9, E8)</f>
        <v/>
      </c>
      <c r="G13" s="31" t="inlineStr">
        <is>
          <t>FIRE Journey Completed %</t>
        </is>
      </c>
      <c r="H13" s="35">
        <f>IFERROR(H11/H10, 0)</f>
        <v/>
      </c>
      <c r="I13" s="82" t="inlineStr">
        <is>
          <t>Current milestone percentage achieved</t>
        </is>
      </c>
    </row>
    <row r="14" ht="19" customHeight="1">
      <c r="A14" s="31" t="inlineStr">
        <is>
          <t>Projected Value: Year 15</t>
        </is>
      </c>
      <c r="B14" s="59">
        <f>-FV(B10/12, 15*12, B9, B8)</f>
        <v/>
      </c>
      <c r="C14" s="59">
        <f>-FV(C10/12, 15*12, C9, C8)</f>
        <v/>
      </c>
      <c r="D14" s="59">
        <f>-FV(D10/12, 15*12, D9, D8)</f>
        <v/>
      </c>
      <c r="E14" s="59">
        <f>-FV(E10/12, 15*12, E9, E8)</f>
        <v/>
      </c>
      <c r="G14" s="31" t="inlineStr">
        <is>
          <t>Monthly Investment Rate</t>
        </is>
      </c>
      <c r="H14" s="58" t="n">
        <v>2500</v>
      </c>
      <c r="I14" s="82" t="inlineStr">
        <is>
          <t>Ongoing monthly capital injection</t>
        </is>
      </c>
    </row>
    <row r="15" ht="19" customHeight="1">
      <c r="A15" s="31" t="inlineStr">
        <is>
          <t>Projected Value: Year 20</t>
        </is>
      </c>
      <c r="B15" s="59">
        <f>-FV(B10/12, 20*12, B9, B8)</f>
        <v/>
      </c>
      <c r="C15" s="59">
        <f>-FV(C10/12, 20*12, C9, C8)</f>
        <v/>
      </c>
      <c r="D15" s="59">
        <f>-FV(D10/12, 20*12, D9, D8)</f>
        <v/>
      </c>
      <c r="E15" s="59">
        <f>-FV(E10/12, 20*12, E9, E8)</f>
        <v/>
      </c>
      <c r="G15" s="31" t="inlineStr">
        <is>
          <t>Expected Compound Growth Rate</t>
        </is>
      </c>
      <c r="H15" s="83" t="n">
        <v>0.08</v>
      </c>
      <c r="I15" s="82" t="inlineStr">
        <is>
          <t>Assumed market compound rate</t>
        </is>
      </c>
    </row>
    <row r="16" ht="19" customHeight="1">
      <c r="A16" s="31" t="inlineStr">
        <is>
          <t>Projected Value: Year 30</t>
        </is>
      </c>
      <c r="B16" s="59">
        <f>-FV(B10/12, 30*12, B9, B8)</f>
        <v/>
      </c>
      <c r="C16" s="59">
        <f>-FV(C10/12, 30*12, C9, C8)</f>
        <v/>
      </c>
      <c r="D16" s="59">
        <f>-FV(D10/12, 30*12, D9, D8)</f>
        <v/>
      </c>
      <c r="E16" s="59">
        <f>-FV(E10/12, 30*12, E9, E8)</f>
        <v/>
      </c>
      <c r="G16" s="31" t="inlineStr">
        <is>
          <t>Estimated Years to Freedom</t>
        </is>
      </c>
      <c r="H16" s="84">
        <f>IFERROR(NPER(H15/12, -H14, -H11, H10)/12, 0)</f>
        <v/>
      </c>
      <c r="I16" s="82" t="inlineStr">
        <is>
          <t>Time required to cross full freedom threshold</t>
        </is>
      </c>
    </row>
  </sheetData>
  <mergeCells count="14">
    <mergeCell ref="I16:K16"/>
    <mergeCell ref="I11:K11"/>
    <mergeCell ref="I10:K10"/>
    <mergeCell ref="I13:K13"/>
    <mergeCell ref="I14:K14"/>
    <mergeCell ref="I9:K9"/>
    <mergeCell ref="I8:K8"/>
    <mergeCell ref="A6:E6"/>
    <mergeCell ref="I12:K12"/>
    <mergeCell ref="A3:L3"/>
    <mergeCell ref="G6:K6"/>
    <mergeCell ref="I15:K15"/>
    <mergeCell ref="I7:K7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6" customHeight="1">
      <c r="A1" s="2">
        <f>HYPERLINK("#01_Start_Here!A1", "🏠 Start")</f>
        <v/>
      </c>
      <c r="B1" s="2">
        <f>HYPERLINK("#02_Dashboard!A1", "📊 Dashboard")</f>
        <v/>
      </c>
      <c r="C1" s="2">
        <f>HYPERLINK("#03_Holdings!A1", "💼 Holdings")</f>
        <v/>
      </c>
      <c r="D1" s="2">
        <f>HYPERLINK("#04_Transactions!A1", "📑 Ledger")</f>
        <v/>
      </c>
      <c r="E1" s="2">
        <f>HYPERLINK("#05_Performance!A1", "📈 Performance")</f>
        <v/>
      </c>
      <c r="F1" s="2">
        <f>HYPERLINK("#06_Allocation_Risk!A1", "🎯 Allocation")</f>
        <v/>
      </c>
      <c r="G1" s="2">
        <f>HYPERLINK("#07_Dividends_Income!A1", "💰 Dividends")</f>
        <v/>
      </c>
      <c r="H1" s="2">
        <f>HYPERLINK("#08_Goals_SIP!A1", "🎯 Goals")</f>
        <v/>
      </c>
      <c r="I1" s="2">
        <f>HYPERLINK("#09_Rebalancing_Drift!A1", "⚖️ Rebalance")</f>
        <v/>
      </c>
      <c r="J1" s="2">
        <f>HYPERLINK("#10_Scenarios_Freedom!A1", "🚀 What-If")</f>
        <v/>
      </c>
      <c r="K1" s="1">
        <f>HYPERLINK("#11_Reviews_Reports!A1", "📋 Reports")</f>
        <v/>
      </c>
      <c r="L1" s="2">
        <f>HYPERLINK("#12_Investment_Journal!A1", "📓 Journal")</f>
        <v/>
      </c>
      <c r="M1" s="2">
        <f>HYPERLINK("#13_Settings_Assumptions!A1", "⚙️ Settings")</f>
        <v/>
      </c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32" customHeight="1">
      <c r="A3" s="4" t="inlineStr">
        <is>
          <t xml:space="preserve">  PORTFOLIO PERIODIC REVIEWS &amp; ANNUAL REPORT</t>
        </is>
      </c>
    </row>
    <row r="4" ht="18" customHeight="1">
      <c r="A4" s="5" t="inlineStr">
        <is>
          <t xml:space="preserve">  Commercial Print-Ready Performance Statements, Gain Summaries &amp; Executive Review</t>
        </is>
      </c>
    </row>
    <row r="5" ht="8" customHeight="1"/>
    <row r="6" ht="20" customHeight="1">
      <c r="A6" s="6" t="inlineStr">
        <is>
          <t>EXECUTIVE MONTHLY PORTFOLIO REVIEW (LATEST MONTH)</t>
        </is>
      </c>
    </row>
    <row r="7" ht="19" customHeight="1">
      <c r="A7" s="31" t="inlineStr">
        <is>
          <t>Starting Portfolio Value</t>
        </is>
      </c>
      <c r="B7" s="59">
        <f>'05_Performance'!B23</f>
        <v/>
      </c>
      <c r="C7" s="85" t="n"/>
      <c r="D7" s="85" t="n"/>
      <c r="E7" s="85" t="n"/>
    </row>
    <row r="8" ht="19" customHeight="1">
      <c r="A8" s="31" t="inlineStr">
        <is>
          <t>Net Capital Inflows / (Outflows)</t>
        </is>
      </c>
      <c r="B8" s="59">
        <f>'05_Performance'!C23</f>
        <v/>
      </c>
      <c r="C8" s="85" t="n"/>
      <c r="D8" s="85" t="n"/>
      <c r="E8" s="85" t="n"/>
    </row>
    <row r="9" ht="19" customHeight="1">
      <c r="A9" s="31" t="inlineStr">
        <is>
          <t>Ending Portfolio Value</t>
        </is>
      </c>
      <c r="B9" s="59">
        <f>'05_Performance'!D23</f>
        <v/>
      </c>
      <c r="C9" s="85" t="n"/>
      <c r="D9" s="85" t="n"/>
      <c r="E9" s="85" t="n"/>
    </row>
    <row r="10" ht="19" customHeight="1">
      <c r="A10" s="31" t="inlineStr">
        <is>
          <t>Net Portfolio Capital Gain / (Loss)</t>
        </is>
      </c>
      <c r="B10" s="59">
        <f>'05_Performance'!E23</f>
        <v/>
      </c>
      <c r="C10" s="85" t="n"/>
      <c r="D10" s="85" t="n"/>
      <c r="E10" s="85" t="n"/>
    </row>
    <row r="11" ht="19" customHeight="1">
      <c r="A11" s="31" t="inlineStr">
        <is>
          <t>Monthly Return %</t>
        </is>
      </c>
      <c r="B11" s="35">
        <f>'05_Performance'!F23</f>
        <v/>
      </c>
      <c r="C11" s="85" t="n"/>
      <c r="D11" s="85" t="n"/>
      <c r="E11" s="85" t="n"/>
    </row>
    <row r="12" ht="19" customHeight="1">
      <c r="A12" s="31" t="inlineStr">
        <is>
          <t>Benchmark Return (S&amp;P 500)</t>
        </is>
      </c>
      <c r="B12" s="35">
        <f>'05_Performance'!G23</f>
        <v/>
      </c>
      <c r="C12" s="85" t="n"/>
      <c r="D12" s="85" t="n"/>
      <c r="E12" s="85" t="n"/>
    </row>
    <row r="13" ht="19" customHeight="1">
      <c r="A13" s="31" t="inlineStr">
        <is>
          <t>Monthly Alpha / Difference</t>
        </is>
      </c>
      <c r="B13" s="35">
        <f>'05_Performance'!H23</f>
        <v/>
      </c>
      <c r="C13" s="85" t="n"/>
      <c r="D13" s="85" t="n"/>
      <c r="E13" s="85" t="n"/>
    </row>
    <row r="14" ht="19" customHeight="1">
      <c r="A14" s="31" t="inlineStr">
        <is>
          <t>Top Performer of the Month</t>
        </is>
      </c>
      <c r="B14" s="86">
        <f>'03_Holdings'!B8</f>
        <v/>
      </c>
      <c r="C14" s="85" t="n"/>
      <c r="D14" s="85" t="n"/>
      <c r="E14" s="85" t="n"/>
    </row>
    <row r="16" ht="20" customHeight="1">
      <c r="A16" s="6" t="inlineStr">
        <is>
          <t>ANNUAL INVESTMENT PERFORMANCE REPORT (FULL YEAR)</t>
        </is>
      </c>
    </row>
    <row r="17" ht="22" customHeight="1">
      <c r="A17" s="30" t="inlineStr">
        <is>
          <t>Metric</t>
        </is>
      </c>
      <c r="B17" s="81" t="n"/>
      <c r="C17" s="30" t="inlineStr">
        <is>
          <t>Value</t>
        </is>
      </c>
      <c r="D17" s="81" t="n"/>
      <c r="F17" s="30" t="inlineStr">
        <is>
          <t>Performance Breakdown</t>
        </is>
      </c>
      <c r="G17" s="81" t="n"/>
      <c r="H17" s="30" t="inlineStr">
        <is>
          <t>Value</t>
        </is>
      </c>
      <c r="I17" s="81" t="n"/>
    </row>
    <row r="18" ht="20" customHeight="1">
      <c r="A18" s="31" t="inlineStr">
        <is>
          <t>Beginning Wealth Balance</t>
        </is>
      </c>
      <c r="C18" s="32">
        <f>'05_Performance'!B12</f>
        <v/>
      </c>
      <c r="F18" s="31" t="inlineStr">
        <is>
          <t>Realized Trading Profit</t>
        </is>
      </c>
      <c r="H18" s="32">
        <f>'04_Transactions'!L6</f>
        <v/>
      </c>
    </row>
    <row r="19" ht="20" customHeight="1">
      <c r="A19" s="31" t="inlineStr">
        <is>
          <t>Total Annual Injections</t>
        </is>
      </c>
      <c r="C19" s="32">
        <f>'05_Performance'!C24</f>
        <v/>
      </c>
      <c r="F19" s="31" t="inlineStr">
        <is>
          <t>Unrealized Portfolio Gains</t>
        </is>
      </c>
      <c r="H19" s="32">
        <f>'03_Holdings'!N6</f>
        <v/>
      </c>
    </row>
    <row r="20" ht="20" customHeight="1">
      <c r="A20" s="31" t="inlineStr">
        <is>
          <t>Ending Wealth Balance</t>
        </is>
      </c>
      <c r="C20" s="32">
        <f>'05_Performance'!D23</f>
        <v/>
      </c>
      <c r="F20" s="31" t="inlineStr">
        <is>
          <t>Dividends &amp; Income Collected</t>
        </is>
      </c>
      <c r="H20" s="32">
        <f>'07_Dividends_Income'!G6</f>
        <v/>
      </c>
    </row>
    <row r="21" ht="20" customHeight="1">
      <c r="A21" s="31" t="inlineStr">
        <is>
          <t>Net Total Portfolio Growth</t>
        </is>
      </c>
      <c r="C21" s="32">
        <f>'05_Performance'!E24</f>
        <v/>
      </c>
      <c r="F21" s="31" t="inlineStr">
        <is>
          <t>Portfolio Annual Return (TWR)</t>
        </is>
      </c>
      <c r="H21" s="75">
        <f>'05_Performance'!F24</f>
        <v/>
      </c>
    </row>
    <row r="22" ht="20" customHeight="1">
      <c r="A22" s="31" t="inlineStr">
        <is>
          <t>Benchmark Annual Return</t>
        </is>
      </c>
      <c r="C22" s="75">
        <f>'05_Performance'!G24</f>
        <v/>
      </c>
      <c r="F22" s="31" t="inlineStr">
        <is>
          <t>Net Annual Alpha Generated</t>
        </is>
      </c>
      <c r="H22" s="75">
        <f>'05_Performance'!H24</f>
        <v/>
      </c>
    </row>
  </sheetData>
  <mergeCells count="36">
    <mergeCell ref="B9:E9"/>
    <mergeCell ref="H20:I20"/>
    <mergeCell ref="F19:G19"/>
    <mergeCell ref="A4:J4"/>
    <mergeCell ref="A6:E6"/>
    <mergeCell ref="C20:D20"/>
    <mergeCell ref="F21:G21"/>
    <mergeCell ref="H21:I21"/>
    <mergeCell ref="F20:G20"/>
    <mergeCell ref="F18:G18"/>
    <mergeCell ref="B7:E7"/>
    <mergeCell ref="C22:D22"/>
    <mergeCell ref="A18:B18"/>
    <mergeCell ref="F17:G17"/>
    <mergeCell ref="H17:I17"/>
    <mergeCell ref="A21:B21"/>
    <mergeCell ref="C21:D21"/>
    <mergeCell ref="B12:E12"/>
    <mergeCell ref="B11:E11"/>
    <mergeCell ref="H19:I19"/>
    <mergeCell ref="F22:G22"/>
    <mergeCell ref="A17:B17"/>
    <mergeCell ref="A16:J16"/>
    <mergeCell ref="H22:I22"/>
    <mergeCell ref="C17:D17"/>
    <mergeCell ref="A22:B22"/>
    <mergeCell ref="B14:E14"/>
    <mergeCell ref="A20:B20"/>
    <mergeCell ref="B8:E8"/>
    <mergeCell ref="B13:E13"/>
    <mergeCell ref="A19:B19"/>
    <mergeCell ref="A3:J3"/>
    <mergeCell ref="H18:I18"/>
    <mergeCell ref="C19:D19"/>
    <mergeCell ref="C18:D18"/>
    <mergeCell ref="B10:E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2" customWidth="1" min="4" max="4"/>
    <col width="32" customWidth="1" min="5" max="5"/>
    <col width="15" customWidth="1" min="6" max="6"/>
    <col width="15" customWidth="1" min="7" max="7"/>
    <col width="22" customWidth="1" min="8" max="8"/>
    <col width="28" customWidth="1" min="9" max="9"/>
  </cols>
  <sheetData>
    <row r="1" ht="26" customHeight="1">
      <c r="A1" s="2">
        <f>HYPERLINK("#01_Start_Here!A1", "🏠 Start")</f>
        <v/>
      </c>
      <c r="B1" s="2">
        <f>HYPERLINK("#02_Dashboard!A1", "📊 Dashboard")</f>
        <v/>
      </c>
      <c r="C1" s="2">
        <f>HYPERLINK("#03_Holdings!A1", "💼 Holdings")</f>
        <v/>
      </c>
      <c r="D1" s="2">
        <f>HYPERLINK("#04_Transactions!A1", "📑 Ledger")</f>
        <v/>
      </c>
      <c r="E1" s="2">
        <f>HYPERLINK("#05_Performance!A1", "📈 Performance")</f>
        <v/>
      </c>
      <c r="F1" s="2">
        <f>HYPERLINK("#06_Allocation_Risk!A1", "🎯 Allocation")</f>
        <v/>
      </c>
      <c r="G1" s="2">
        <f>HYPERLINK("#07_Dividends_Income!A1", "💰 Dividends")</f>
        <v/>
      </c>
      <c r="H1" s="2">
        <f>HYPERLINK("#08_Goals_SIP!A1", "🎯 Goals")</f>
        <v/>
      </c>
      <c r="I1" s="2">
        <f>HYPERLINK("#09_Rebalancing_Drift!A1", "⚖️ Rebalance")</f>
        <v/>
      </c>
      <c r="J1" s="2">
        <f>HYPERLINK("#10_Scenarios_Freedom!A1", "🚀 What-If")</f>
        <v/>
      </c>
      <c r="K1" s="2">
        <f>HYPERLINK("#11_Reviews_Reports!A1", "📋 Reports")</f>
        <v/>
      </c>
      <c r="L1" s="1">
        <f>HYPERLINK("#12_Investment_Journal!A1", "📓 Journal")</f>
        <v/>
      </c>
      <c r="M1" s="2">
        <f>HYPERLINK("#13_Settings_Assumptions!A1", "⚙️ Settings")</f>
        <v/>
      </c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32" customHeight="1">
      <c r="A3" s="4" t="inlineStr">
        <is>
          <t xml:space="preserve">  INVESTMENT DECISION JOURNAL &amp; TRADE THESIS LOG</t>
        </is>
      </c>
    </row>
    <row r="4" ht="18" customHeight="1">
      <c r="A4" s="5" t="inlineStr">
        <is>
          <t xml:space="preserve">  Disciplined Record of Investment Hypotheses, Conviction Levels, Exit Rules &amp; Post-Mortems</t>
        </is>
      </c>
    </row>
    <row r="5" ht="8" customHeight="1"/>
    <row r="6" ht="22" customHeight="1">
      <c r="A6" s="30" t="inlineStr">
        <is>
          <t>Entry ID</t>
        </is>
      </c>
      <c r="B6" s="30" t="inlineStr">
        <is>
          <t>Date</t>
        </is>
      </c>
      <c r="C6" s="30" t="inlineStr">
        <is>
          <t>Asset / Ticker</t>
        </is>
      </c>
      <c r="D6" s="30" t="inlineStr">
        <is>
          <t>Decision</t>
        </is>
      </c>
      <c r="E6" s="30" t="inlineStr">
        <is>
          <t>Core Investment Thesis &amp; Catalyst</t>
        </is>
      </c>
      <c r="F6" s="30" t="inlineStr">
        <is>
          <t>Expected Horizon</t>
        </is>
      </c>
      <c r="G6" s="30" t="inlineStr">
        <is>
          <t>Conviction (1-5★)</t>
        </is>
      </c>
      <c r="H6" s="30" t="inlineStr">
        <is>
          <t>Exit Rules / Target</t>
        </is>
      </c>
      <c r="I6" s="30" t="inlineStr">
        <is>
          <t>Actual Outcome / Review Notes</t>
        </is>
      </c>
    </row>
    <row r="7" ht="22" customHeight="1">
      <c r="A7" s="44" t="inlineStr">
        <is>
          <t>JRN-001</t>
        </is>
      </c>
      <c r="B7" s="44" t="inlineStr">
        <is>
          <t>2023-01-15</t>
        </is>
      </c>
      <c r="C7" s="36" t="inlineStr">
        <is>
          <t>AAPL</t>
        </is>
      </c>
      <c r="D7" s="36" t="inlineStr">
        <is>
          <t>Buy</t>
        </is>
      </c>
      <c r="E7" s="37" t="inlineStr">
        <is>
          <t>Hardware ecosystem lock-in + Services margin expansion + High free cashflow</t>
        </is>
      </c>
      <c r="F7" s="44" t="inlineStr">
        <is>
          <t>5+ Years</t>
        </is>
      </c>
      <c r="G7" s="36" t="inlineStr">
        <is>
          <t>★★★★★</t>
        </is>
      </c>
      <c r="H7" s="37" t="inlineStr">
        <is>
          <t>Trim if P/E exceeds 38x</t>
        </is>
      </c>
      <c r="I7" s="37" t="inlineStr">
        <is>
          <t>Strong multi-year gain; held core position</t>
        </is>
      </c>
    </row>
    <row r="8" ht="22" customHeight="1">
      <c r="A8" s="44" t="inlineStr">
        <is>
          <t>JRN-002</t>
        </is>
      </c>
      <c r="B8" s="44" t="inlineStr">
        <is>
          <t>2023-02-10</t>
        </is>
      </c>
      <c r="C8" s="36" t="inlineStr">
        <is>
          <t>MSFT</t>
        </is>
      </c>
      <c r="D8" s="36" t="inlineStr">
        <is>
          <t>Buy</t>
        </is>
      </c>
      <c r="E8" s="37" t="inlineStr">
        <is>
          <t>Enterprise software moat + Azure cloud growth + Generative AI integration</t>
        </is>
      </c>
      <c r="F8" s="44" t="inlineStr">
        <is>
          <t>5+ Years</t>
        </is>
      </c>
      <c r="G8" s="36" t="inlineStr">
        <is>
          <t>★★★★★</t>
        </is>
      </c>
      <c r="H8" s="37" t="inlineStr">
        <is>
          <t>Hold indefinitely</t>
        </is>
      </c>
      <c r="I8" s="37" t="inlineStr">
        <is>
          <t>Outstanding compounder; beating expectations</t>
        </is>
      </c>
    </row>
    <row r="9" ht="22" customHeight="1">
      <c r="A9" s="44" t="inlineStr">
        <is>
          <t>JRN-003</t>
        </is>
      </c>
      <c r="B9" s="44" t="inlineStr">
        <is>
          <t>2023-06-20</t>
        </is>
      </c>
      <c r="C9" s="36" t="inlineStr">
        <is>
          <t>NVDA</t>
        </is>
      </c>
      <c r="D9" s="36" t="inlineStr">
        <is>
          <t>Buy</t>
        </is>
      </c>
      <c r="E9" s="37" t="inlineStr">
        <is>
          <t>Data center GPU computing monopoly; CUDA proprietary software moat</t>
        </is>
      </c>
      <c r="F9" s="44" t="inlineStr">
        <is>
          <t>3-5 Years</t>
        </is>
      </c>
      <c r="G9" s="36" t="inlineStr">
        <is>
          <t>★★★★☆</t>
        </is>
      </c>
      <c r="H9" s="37" t="inlineStr">
        <is>
          <t>Rebalance if position exceeds 10%</t>
        </is>
      </c>
      <c r="I9" s="37" t="inlineStr">
        <is>
          <t>Extremely rapid appreciation; rebalanced once</t>
        </is>
      </c>
    </row>
    <row r="10" ht="22" customHeight="1">
      <c r="A10" s="44" t="inlineStr">
        <is>
          <t>JRN-004</t>
        </is>
      </c>
      <c r="B10" s="44" t="inlineStr">
        <is>
          <t>2023-09-10</t>
        </is>
      </c>
      <c r="C10" s="36" t="inlineStr">
        <is>
          <t>O</t>
        </is>
      </c>
      <c r="D10" s="36" t="inlineStr">
        <is>
          <t>Buy</t>
        </is>
      </c>
      <c r="E10" s="37" t="inlineStr">
        <is>
          <t>Predictable monthly cashflow dividend; triple-net retail lease tenants</t>
        </is>
      </c>
      <c r="F10" s="44" t="inlineStr">
        <is>
          <t>Income Focus</t>
        </is>
      </c>
      <c r="G10" s="36" t="inlineStr">
        <is>
          <t>★★★★☆</t>
        </is>
      </c>
      <c r="H10" s="37" t="inlineStr">
        <is>
          <t>Re-evaluate if occupancy drops &lt; 95%</t>
        </is>
      </c>
      <c r="I10" s="37" t="inlineStr">
        <is>
          <t>Consistent monthly cash distributions</t>
        </is>
      </c>
    </row>
    <row r="11" ht="22" customHeight="1">
      <c r="A11" s="44" t="inlineStr">
        <is>
          <t>JRN-005</t>
        </is>
      </c>
      <c r="B11" s="44" t="inlineStr">
        <is>
          <t>2024-05-18</t>
        </is>
      </c>
      <c r="C11" s="36" t="inlineStr">
        <is>
          <t>TSLA</t>
        </is>
      </c>
      <c r="D11" s="36" t="inlineStr">
        <is>
          <t>Sell</t>
        </is>
      </c>
      <c r="E11" s="37" t="inlineStr">
        <is>
          <t>Electric vehicle margin compression + elevated robotaxi execution risk</t>
        </is>
      </c>
      <c r="F11" s="44" t="inlineStr">
        <is>
          <t>Closed</t>
        </is>
      </c>
      <c r="G11" s="36" t="inlineStr">
        <is>
          <t>★★★☆☆</t>
        </is>
      </c>
      <c r="H11" s="37" t="inlineStr">
        <is>
          <t>Reallocate proceeds to S&amp;P 500 ETF</t>
        </is>
      </c>
      <c r="I11" s="37" t="inlineStr">
        <is>
          <t>Disciplined exit; protected booked capital</t>
        </is>
      </c>
    </row>
  </sheetData>
  <mergeCells count="2">
    <mergeCell ref="A4:J4"/>
    <mergeCell ref="A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0" customWidth="1" min="3" max="3"/>
    <col width="20" customWidth="1" min="4" max="4"/>
    <col width="16" customWidth="1" min="6" max="6"/>
    <col width="18" customWidth="1" min="7" max="7"/>
    <col width="18" customWidth="1" min="8" max="8"/>
    <col width="18" customWidth="1" min="9" max="9"/>
    <col width="14" customWidth="1" min="10" max="10"/>
  </cols>
  <sheetData>
    <row r="1" ht="26" customHeight="1">
      <c r="A1" s="2">
        <f>HYPERLINK("#01_Start_Here!A1", "🏠 Start")</f>
        <v/>
      </c>
      <c r="B1" s="2">
        <f>HYPERLINK("#02_Dashboard!A1", "📊 Dashboard")</f>
        <v/>
      </c>
      <c r="C1" s="2">
        <f>HYPERLINK("#03_Holdings!A1", "💼 Holdings")</f>
        <v/>
      </c>
      <c r="D1" s="2">
        <f>HYPERLINK("#04_Transactions!A1", "📑 Ledger")</f>
        <v/>
      </c>
      <c r="E1" s="2">
        <f>HYPERLINK("#05_Performance!A1", "📈 Performance")</f>
        <v/>
      </c>
      <c r="F1" s="2">
        <f>HYPERLINK("#06_Allocation_Risk!A1", "🎯 Allocation")</f>
        <v/>
      </c>
      <c r="G1" s="2">
        <f>HYPERLINK("#07_Dividends_Income!A1", "💰 Dividends")</f>
        <v/>
      </c>
      <c r="H1" s="2">
        <f>HYPERLINK("#08_Goals_SIP!A1", "🎯 Goals")</f>
        <v/>
      </c>
      <c r="I1" s="2">
        <f>HYPERLINK("#09_Rebalancing_Drift!A1", "⚖️ Rebalance")</f>
        <v/>
      </c>
      <c r="J1" s="2">
        <f>HYPERLINK("#10_Scenarios_Freedom!A1", "🚀 What-If")</f>
        <v/>
      </c>
      <c r="K1" s="2">
        <f>HYPERLINK("#11_Reviews_Reports!A1", "📋 Reports")</f>
        <v/>
      </c>
      <c r="L1" s="2">
        <f>HYPERLINK("#12_Investment_Journal!A1", "📓 Journal")</f>
        <v/>
      </c>
      <c r="M1" s="1">
        <f>HYPERLINK("#13_Settings_Assumptions!A1", "⚙️ Settings")</f>
        <v/>
      </c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32" customHeight="1">
      <c r="A3" s="4" t="inlineStr">
        <is>
          <t xml:space="preserve">  SYSTEM SETTINGS, ASSUMPTIONS &amp; LOOKUP CATALOG</t>
        </is>
      </c>
    </row>
    <row r="4" ht="18" customHeight="1">
      <c r="A4" s="5" t="inlineStr">
        <is>
          <t xml:space="preserve">  Global Currencies, Benchmark Symbols, Rebalancing Bands &amp; Data Validation Catalogs</t>
        </is>
      </c>
    </row>
    <row r="5" ht="8" customHeight="1"/>
    <row r="6" ht="20" customHeight="1">
      <c r="A6" s="6" t="inlineStr">
        <is>
          <t>GLOBAL WORKBOOK PARAMETERS</t>
        </is>
      </c>
      <c r="F6" s="6" t="inlineStr">
        <is>
          <t>MASTER DROPDOWN LOOKUP CATALOGS</t>
        </is>
      </c>
    </row>
    <row r="7" ht="22" customHeight="1">
      <c r="A7" s="31" t="inlineStr">
        <is>
          <t>Base Reporting Currency</t>
        </is>
      </c>
      <c r="B7" s="9" t="inlineStr">
        <is>
          <t>USD ($)</t>
        </is>
      </c>
      <c r="C7" s="82" t="inlineStr">
        <is>
          <t>Select reporting currency ($ USD, ₹ INR, € EUR, £ GBP)</t>
        </is>
      </c>
      <c r="F7" s="30" t="inlineStr">
        <is>
          <t>Asset Types</t>
        </is>
      </c>
      <c r="G7" s="30" t="inlineStr">
        <is>
          <t>Sectors</t>
        </is>
      </c>
      <c r="H7" s="30" t="inlineStr">
        <is>
          <t>Transaction Types</t>
        </is>
      </c>
      <c r="I7" s="30" t="inlineStr">
        <is>
          <t>Brokers / Accounts</t>
        </is>
      </c>
      <c r="J7" s="30" t="inlineStr">
        <is>
          <t>Currencies</t>
        </is>
      </c>
    </row>
    <row r="8" ht="19" customHeight="1">
      <c r="A8" s="31" t="inlineStr">
        <is>
          <t>Current Portfolio Valuation Date</t>
        </is>
      </c>
      <c r="B8" s="9" t="inlineStr">
        <is>
          <t>2026-09-07</t>
        </is>
      </c>
      <c r="C8" s="82" t="inlineStr">
        <is>
          <t>Valuation snapshot date</t>
        </is>
      </c>
      <c r="F8" s="44" t="inlineStr">
        <is>
          <t>Stocks</t>
        </is>
      </c>
      <c r="G8" s="44" t="inlineStr">
        <is>
          <t>Technology</t>
        </is>
      </c>
      <c r="H8" s="44" t="inlineStr">
        <is>
          <t>Buy</t>
        </is>
      </c>
      <c r="I8" s="44" t="inlineStr">
        <is>
          <t>Fidelity</t>
        </is>
      </c>
      <c r="J8" s="44" t="inlineStr">
        <is>
          <t>USD ($)</t>
        </is>
      </c>
    </row>
    <row r="9" ht="19" customHeight="1">
      <c r="A9" s="31" t="inlineStr">
        <is>
          <t>Primary Benchmark Index</t>
        </is>
      </c>
      <c r="B9" s="9" t="inlineStr">
        <is>
          <t>S&amp;P 500 Index (SPY / VOO)</t>
        </is>
      </c>
      <c r="C9" s="82" t="inlineStr">
        <is>
          <t>Default benchmark for alpha calculations</t>
        </is>
      </c>
      <c r="F9" s="44" t="inlineStr">
        <is>
          <t>ETFs</t>
        </is>
      </c>
      <c r="G9" s="44" t="inlineStr">
        <is>
          <t>Broad Market</t>
        </is>
      </c>
      <c r="H9" s="44" t="inlineStr">
        <is>
          <t>Sell</t>
        </is>
      </c>
      <c r="I9" s="44" t="inlineStr">
        <is>
          <t>Charles Schwab</t>
        </is>
      </c>
      <c r="J9" s="44" t="inlineStr">
        <is>
          <t>INR (₹)</t>
        </is>
      </c>
    </row>
    <row r="10" ht="19" customHeight="1">
      <c r="A10" s="31" t="inlineStr">
        <is>
          <t>Secondary Benchmark Index</t>
        </is>
      </c>
      <c r="B10" s="9" t="inlineStr">
        <is>
          <t>MSCI ACWI All-World ETF</t>
        </is>
      </c>
      <c r="C10" s="82" t="inlineStr">
        <is>
          <t>Global equity comparison benchmark</t>
        </is>
      </c>
      <c r="F10" s="44" t="inlineStr">
        <is>
          <t>Mutual Funds</t>
        </is>
      </c>
      <c r="G10" s="44" t="inlineStr">
        <is>
          <t>Technology Blend</t>
        </is>
      </c>
      <c r="H10" s="44" t="inlineStr">
        <is>
          <t>Dividend</t>
        </is>
      </c>
      <c r="I10" s="44" t="inlineStr">
        <is>
          <t>Interactive Brokers</t>
        </is>
      </c>
      <c r="J10" s="44" t="inlineStr">
        <is>
          <t>EUR (€)</t>
        </is>
      </c>
    </row>
    <row r="11" ht="19" customHeight="1">
      <c r="A11" s="31" t="inlineStr">
        <is>
          <t>Rebalance Drift Threshold</t>
        </is>
      </c>
      <c r="B11" s="83" t="n">
        <v>0.05</v>
      </c>
      <c r="C11" s="82" t="inlineStr">
        <is>
          <t>Band beyond which rebalancing is recommended (±5.0%)</t>
        </is>
      </c>
      <c r="F11" s="44" t="inlineStr">
        <is>
          <t>Bonds</t>
        </is>
      </c>
      <c r="G11" s="44" t="inlineStr">
        <is>
          <t>International</t>
        </is>
      </c>
      <c r="H11" s="44" t="inlineStr">
        <is>
          <t>Interest</t>
        </is>
      </c>
      <c r="I11" s="44" t="inlineStr">
        <is>
          <t>Vanguard</t>
        </is>
      </c>
      <c r="J11" s="44" t="inlineStr">
        <is>
          <t>GBP (£)</t>
        </is>
      </c>
    </row>
    <row r="12" ht="19" customHeight="1">
      <c r="A12" s="31" t="inlineStr">
        <is>
          <t>Cost Basis Calculation Mode</t>
        </is>
      </c>
      <c r="B12" s="9" t="inlineStr">
        <is>
          <t>Weighted Average Cost (WAC)</t>
        </is>
      </c>
      <c r="C12" s="82" t="inlineStr">
        <is>
          <t>Assumed tax-lot inventory method</t>
        </is>
      </c>
      <c r="F12" s="44" t="inlineStr">
        <is>
          <t>REITs</t>
        </is>
      </c>
      <c r="G12" s="44" t="inlineStr">
        <is>
          <t>Fixed Income</t>
        </is>
      </c>
      <c r="H12" s="44" t="inlineStr">
        <is>
          <t>Fee</t>
        </is>
      </c>
      <c r="I12" s="44" t="inlineStr">
        <is>
          <t>Zerodha</t>
        </is>
      </c>
      <c r="J12" s="44" t="inlineStr">
        <is>
          <t>CAD ($)</t>
        </is>
      </c>
    </row>
    <row r="13" ht="19" customHeight="1">
      <c r="A13" s="31" t="inlineStr">
        <is>
          <t>Liquid Emergency Cash Buffer</t>
        </is>
      </c>
      <c r="B13" s="58" t="n">
        <v>10000</v>
      </c>
      <c r="C13" s="82" t="inlineStr">
        <is>
          <t>Uninvested capital preserved in liquid yields</t>
        </is>
      </c>
      <c r="F13" s="44" t="inlineStr">
        <is>
          <t>Gold</t>
        </is>
      </c>
      <c r="G13" s="44" t="inlineStr">
        <is>
          <t>Government</t>
        </is>
      </c>
      <c r="H13" s="44" t="inlineStr">
        <is>
          <t>Deposit</t>
        </is>
      </c>
      <c r="I13" s="44" t="inlineStr">
        <is>
          <t>Robinhood</t>
        </is>
      </c>
      <c r="J13" s="44" t="inlineStr">
        <is>
          <t>AUD ($)</t>
        </is>
      </c>
    </row>
    <row r="14" ht="19" customHeight="1">
      <c r="F14" s="44" t="inlineStr">
        <is>
          <t>Cash</t>
        </is>
      </c>
      <c r="G14" s="44" t="inlineStr">
        <is>
          <t>Real Estate</t>
        </is>
      </c>
      <c r="H14" s="44" t="inlineStr">
        <is>
          <t>Withdrawal</t>
        </is>
      </c>
      <c r="I14" s="44" t="inlineStr">
        <is>
          <t>Local Broker</t>
        </is>
      </c>
      <c r="J14" s="44" t="inlineStr"/>
    </row>
    <row r="15" ht="19" customHeight="1">
      <c r="F15" s="44" t="inlineStr">
        <is>
          <t>Other</t>
        </is>
      </c>
      <c r="G15" s="44" t="inlineStr">
        <is>
          <t>Commodities</t>
        </is>
      </c>
      <c r="H15" s="44" t="inlineStr">
        <is>
          <t>Split</t>
        </is>
      </c>
      <c r="I15" s="44" t="inlineStr"/>
      <c r="J15" s="44" t="inlineStr"/>
    </row>
    <row r="16" ht="19" customHeight="1">
      <c r="F16" s="44" t="inlineStr"/>
      <c r="G16" s="44" t="inlineStr">
        <is>
          <t>Healthcare</t>
        </is>
      </c>
      <c r="H16" s="44" t="inlineStr">
        <is>
          <t>Bonus</t>
        </is>
      </c>
      <c r="I16" s="44" t="inlineStr"/>
      <c r="J16" s="44" t="inlineStr"/>
    </row>
    <row r="17" ht="19" customHeight="1">
      <c r="F17" s="44" t="inlineStr"/>
      <c r="G17" s="44" t="inlineStr">
        <is>
          <t>Financials</t>
        </is>
      </c>
      <c r="H17" s="44" t="inlineStr">
        <is>
          <t>Other</t>
        </is>
      </c>
      <c r="I17" s="44" t="inlineStr"/>
      <c r="J17" s="44" t="inlineStr"/>
    </row>
    <row r="18" ht="19" customHeight="1">
      <c r="F18" s="44" t="inlineStr"/>
      <c r="G18" s="44" t="inlineStr">
        <is>
          <t>Consumer</t>
        </is>
      </c>
      <c r="H18" s="44" t="inlineStr"/>
      <c r="I18" s="44" t="inlineStr"/>
      <c r="J18" s="44" t="inlineStr"/>
    </row>
    <row r="19" ht="19" customHeight="1">
      <c r="F19" s="44" t="inlineStr"/>
      <c r="G19" s="44" t="inlineStr">
        <is>
          <t>Energy</t>
        </is>
      </c>
      <c r="H19" s="44" t="inlineStr"/>
      <c r="I19" s="44" t="inlineStr"/>
      <c r="J19" s="44" t="inlineStr"/>
    </row>
  </sheetData>
  <mergeCells count="11">
    <mergeCell ref="C12:D12"/>
    <mergeCell ref="F6:J6"/>
    <mergeCell ref="C7:D7"/>
    <mergeCell ref="A6:D6"/>
    <mergeCell ref="C10:D10"/>
    <mergeCell ref="C11:D11"/>
    <mergeCell ref="A3:J3"/>
    <mergeCell ref="A4:J4"/>
    <mergeCell ref="C13:D13"/>
    <mergeCell ref="C9:D9"/>
    <mergeCell ref="C8:D8"/>
  </mergeCells>
  <dataValidations count="1">
    <dataValidation sqref="B7" showDropDown="0" showInputMessage="0" showErrorMessage="0" allowBlank="1" type="list">
      <formula1>"USD ($),INR (₹),EUR (€),GBP (£),CAD ($),AUD ($)"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2026-09-07T06:39:41Z</dcterms:created>
  <dcterms:modified xsi:type="dcterms:W3CDTF">2026-09-07T06:39:41Z</dcterms:modified>
</cp:coreProperties>
</file>